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Inputs" sheetId="1" state="visible" r:id="rId2"/>
    <sheet name="Data" sheetId="2" state="visible" r:id="rId3"/>
    <sheet name="GCode" sheetId="3" state="visible" r:id="rId4"/>
    <sheet name="XY Plot" sheetId="4" state="visible" r:id="rId5"/>
    <sheet name="XZ Plot" sheetId="5" state="visible" r:id="rId6"/>
    <sheet name="Phi Plot" sheetId="6" state="visible" r:id="rId7"/>
    <sheet name="B Tilt Plot" sheetId="7" state="visible" r:id="rId8"/>
    <sheet name="Radius Check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<sst xmlns="http://schemas.openxmlformats.org/spreadsheetml/2006/main" count="814" uniqueCount="433">
  <si>
    <t xml:space="preserve">O9010 — Torus Groove Contour Validator V3</t>
  </si>
  <si>
    <t xml:space="preserve">Edit blue cells only. GCode tab generates automatically.</t>
  </si>
  <si>
    <t xml:space="preserve">Parameter</t>
  </si>
  <si>
    <t xml:space="preserve">Value</t>
  </si>
  <si>
    <t xml:space="preserve">Units</t>
  </si>
  <si>
    <t xml:space="preserve">I  — XY circle radius (tool centerline)</t>
  </si>
  <si>
    <t xml:space="preserve">inches</t>
  </si>
  <si>
    <t xml:space="preserve">J  — XZ minor arc radius</t>
  </si>
  <si>
    <t xml:space="preserve">DIR — direction  +1=CCW  /  -1=CW</t>
  </si>
  <si>
    <t xml:space="preserve">Xctr — center X</t>
  </si>
  <si>
    <t xml:space="preserve">Yctr — center Y</t>
  </si>
  <si>
    <t xml:space="preserve">Step — angular increment (degrees)</t>
  </si>
  <si>
    <t xml:space="preserve">degrees</t>
  </si>
  <si>
    <t xml:space="preserve">R  — retract plane Z</t>
  </si>
  <si>
    <t xml:space="preserve">S  — spindle speed</t>
  </si>
  <si>
    <t xml:space="preserve">RPM</t>
  </si>
  <si>
    <t xml:space="preserve">F  — feed rate (IPM)</t>
  </si>
  <si>
    <t xml:space="preserve">IPM</t>
  </si>
  <si>
    <t xml:space="preserve">H  — tool length offset number</t>
  </si>
  <si>
    <t xml:space="preserve">Derived values</t>
  </si>
  <si>
    <t xml:space="preserve">XY diameter (2×I)</t>
  </si>
  <si>
    <t xml:space="preserve">Half-subtended angle ASIN(I/J)</t>
  </si>
  <si>
    <t xml:space="preserve">Max B tilt = half subtended</t>
  </si>
  <si>
    <t xml:space="preserve">Max Z depth</t>
  </si>
  <si>
    <t xml:space="preserve">Total Z excursion</t>
  </si>
  <si>
    <t xml:space="preserve">Contour steps (360/Step)</t>
  </si>
  <si>
    <t xml:space="preserve">blocks</t>
  </si>
  <si>
    <t xml:space="preserve">Geometry: phi=ASIN(I*SIN(C)/J) — correct for I&lt;&gt;J.</t>
  </si>
  <si>
    <t xml:space="preserve">C (deg)</t>
  </si>
  <si>
    <t xml:space="preserve">Theta (deg)</t>
  </si>
  <si>
    <t xml:space="preserve">phi (deg)</t>
  </si>
  <si>
    <t xml:space="preserve">X (in.)</t>
  </si>
  <si>
    <t xml:space="preserve">Y (in.)</t>
  </si>
  <si>
    <t xml:space="preserve">Z (in.)</t>
  </si>
  <si>
    <t xml:space="preserve">B (deg)</t>
  </si>
  <si>
    <t xml:space="preserve">R_check (in.)</t>
  </si>
  <si>
    <t xml:space="preserve">O9010 — Generated G-Code</t>
  </si>
  <si>
    <t xml:space="preserve">Each row = one block. Each cell = one word. Positive values have no sign.</t>
  </si>
  <si>
    <t xml:space="preserve">N</t>
  </si>
  <si>
    <t xml:space="preserve">G/M</t>
  </si>
  <si>
    <t xml:space="preserve">X</t>
  </si>
  <si>
    <t xml:space="preserve">Y</t>
  </si>
  <si>
    <t xml:space="preserve">Z</t>
  </si>
  <si>
    <t xml:space="preserve">B</t>
  </si>
  <si>
    <t xml:space="preserve">C</t>
  </si>
  <si>
    <t xml:space="preserve">F / S / H</t>
  </si>
  <si>
    <t xml:space="preserve">(PREAMBLE)</t>
  </si>
  <si>
    <t xml:space="preserve">G20</t>
  </si>
  <si>
    <t xml:space="preserve">G90</t>
  </si>
  <si>
    <t xml:space="preserve">G94</t>
  </si>
  <si>
    <t xml:space="preserve">G49</t>
  </si>
  <si>
    <t xml:space="preserve">G00</t>
  </si>
  <si>
    <t xml:space="preserve">B0.0000</t>
  </si>
  <si>
    <t xml:space="preserve">C0.0000</t>
  </si>
  <si>
    <t xml:space="preserve">G234</t>
  </si>
  <si>
    <t xml:space="preserve">M03</t>
  </si>
  <si>
    <t xml:space="preserve">G01</t>
  </si>
  <si>
    <t xml:space="preserve">Z0.0000</t>
  </si>
  <si>
    <t xml:space="preserve">(CONTOUR)</t>
  </si>
  <si>
    <t xml:space="preserve">N1</t>
  </si>
  <si>
    <t xml:space="preserve">N2</t>
  </si>
  <si>
    <t xml:space="preserve">N3</t>
  </si>
  <si>
    <t xml:space="preserve">N4</t>
  </si>
  <si>
    <t xml:space="preserve">N5</t>
  </si>
  <si>
    <t xml:space="preserve">N6</t>
  </si>
  <si>
    <t xml:space="preserve">N7</t>
  </si>
  <si>
    <t xml:space="preserve">N8</t>
  </si>
  <si>
    <t xml:space="preserve">N9</t>
  </si>
  <si>
    <t xml:space="preserve">N10</t>
  </si>
  <si>
    <t xml:space="preserve">N11</t>
  </si>
  <si>
    <t xml:space="preserve">N12</t>
  </si>
  <si>
    <t xml:space="preserve">N13</t>
  </si>
  <si>
    <t xml:space="preserve">N14</t>
  </si>
  <si>
    <t xml:space="preserve">N15</t>
  </si>
  <si>
    <t xml:space="preserve">N16</t>
  </si>
  <si>
    <t xml:space="preserve">N17</t>
  </si>
  <si>
    <t xml:space="preserve">N18</t>
  </si>
  <si>
    <t xml:space="preserve">N19</t>
  </si>
  <si>
    <t xml:space="preserve">N20</t>
  </si>
  <si>
    <t xml:space="preserve">N21</t>
  </si>
  <si>
    <t xml:space="preserve">N22</t>
  </si>
  <si>
    <t xml:space="preserve">N23</t>
  </si>
  <si>
    <t xml:space="preserve">N24</t>
  </si>
  <si>
    <t xml:space="preserve">N25</t>
  </si>
  <si>
    <t xml:space="preserve">N26</t>
  </si>
  <si>
    <t xml:space="preserve">N27</t>
  </si>
  <si>
    <t xml:space="preserve">N28</t>
  </si>
  <si>
    <t xml:space="preserve">N29</t>
  </si>
  <si>
    <t xml:space="preserve">N30</t>
  </si>
  <si>
    <t xml:space="preserve">N31</t>
  </si>
  <si>
    <t xml:space="preserve">N32</t>
  </si>
  <si>
    <t xml:space="preserve">N33</t>
  </si>
  <si>
    <t xml:space="preserve">N34</t>
  </si>
  <si>
    <t xml:space="preserve">N35</t>
  </si>
  <si>
    <t xml:space="preserve">N36</t>
  </si>
  <si>
    <t xml:space="preserve">N37</t>
  </si>
  <si>
    <t xml:space="preserve">N38</t>
  </si>
  <si>
    <t xml:space="preserve">N39</t>
  </si>
  <si>
    <t xml:space="preserve">N40</t>
  </si>
  <si>
    <t xml:space="preserve">N41</t>
  </si>
  <si>
    <t xml:space="preserve">N42</t>
  </si>
  <si>
    <t xml:space="preserve">N43</t>
  </si>
  <si>
    <t xml:space="preserve">N44</t>
  </si>
  <si>
    <t xml:space="preserve">N45</t>
  </si>
  <si>
    <t xml:space="preserve">N46</t>
  </si>
  <si>
    <t xml:space="preserve">N47</t>
  </si>
  <si>
    <t xml:space="preserve">N48</t>
  </si>
  <si>
    <t xml:space="preserve">N49</t>
  </si>
  <si>
    <t xml:space="preserve">N50</t>
  </si>
  <si>
    <t xml:space="preserve">N51</t>
  </si>
  <si>
    <t xml:space="preserve">N52</t>
  </si>
  <si>
    <t xml:space="preserve">N53</t>
  </si>
  <si>
    <t xml:space="preserve">N54</t>
  </si>
  <si>
    <t xml:space="preserve">N55</t>
  </si>
  <si>
    <t xml:space="preserve">N56</t>
  </si>
  <si>
    <t xml:space="preserve">N57</t>
  </si>
  <si>
    <t xml:space="preserve">N58</t>
  </si>
  <si>
    <t xml:space="preserve">N59</t>
  </si>
  <si>
    <t xml:space="preserve">N60</t>
  </si>
  <si>
    <t xml:space="preserve">N61</t>
  </si>
  <si>
    <t xml:space="preserve">N62</t>
  </si>
  <si>
    <t xml:space="preserve">N63</t>
  </si>
  <si>
    <t xml:space="preserve">N64</t>
  </si>
  <si>
    <t xml:space="preserve">N65</t>
  </si>
  <si>
    <t xml:space="preserve">N66</t>
  </si>
  <si>
    <t xml:space="preserve">N67</t>
  </si>
  <si>
    <t xml:space="preserve">N68</t>
  </si>
  <si>
    <t xml:space="preserve">N69</t>
  </si>
  <si>
    <t xml:space="preserve">N70</t>
  </si>
  <si>
    <t xml:space="preserve">N71</t>
  </si>
  <si>
    <t xml:space="preserve">N72</t>
  </si>
  <si>
    <t xml:space="preserve">N73</t>
  </si>
  <si>
    <t xml:space="preserve">N74</t>
  </si>
  <si>
    <t xml:space="preserve">N75</t>
  </si>
  <si>
    <t xml:space="preserve">N76</t>
  </si>
  <si>
    <t xml:space="preserve">N77</t>
  </si>
  <si>
    <t xml:space="preserve">N78</t>
  </si>
  <si>
    <t xml:space="preserve">N79</t>
  </si>
  <si>
    <t xml:space="preserve">N80</t>
  </si>
  <si>
    <t xml:space="preserve">N81</t>
  </si>
  <si>
    <t xml:space="preserve">N82</t>
  </si>
  <si>
    <t xml:space="preserve">N83</t>
  </si>
  <si>
    <t xml:space="preserve">N84</t>
  </si>
  <si>
    <t xml:space="preserve">N85</t>
  </si>
  <si>
    <t xml:space="preserve">N86</t>
  </si>
  <si>
    <t xml:space="preserve">N87</t>
  </si>
  <si>
    <t xml:space="preserve">N88</t>
  </si>
  <si>
    <t xml:space="preserve">N89</t>
  </si>
  <si>
    <t xml:space="preserve">N90</t>
  </si>
  <si>
    <t xml:space="preserve">N91</t>
  </si>
  <si>
    <t xml:space="preserve">N92</t>
  </si>
  <si>
    <t xml:space="preserve">N93</t>
  </si>
  <si>
    <t xml:space="preserve">N94</t>
  </si>
  <si>
    <t xml:space="preserve">N95</t>
  </si>
  <si>
    <t xml:space="preserve">N96</t>
  </si>
  <si>
    <t xml:space="preserve">N97</t>
  </si>
  <si>
    <t xml:space="preserve">N98</t>
  </si>
  <si>
    <t xml:space="preserve">N99</t>
  </si>
  <si>
    <t xml:space="preserve">N100</t>
  </si>
  <si>
    <t xml:space="preserve">N101</t>
  </si>
  <si>
    <t xml:space="preserve">N102</t>
  </si>
  <si>
    <t xml:space="preserve">N103</t>
  </si>
  <si>
    <t xml:space="preserve">N104</t>
  </si>
  <si>
    <t xml:space="preserve">N105</t>
  </si>
  <si>
    <t xml:space="preserve">N106</t>
  </si>
  <si>
    <t xml:space="preserve">N107</t>
  </si>
  <si>
    <t xml:space="preserve">N108</t>
  </si>
  <si>
    <t xml:space="preserve">N109</t>
  </si>
  <si>
    <t xml:space="preserve">N110</t>
  </si>
  <si>
    <t xml:space="preserve">N111</t>
  </si>
  <si>
    <t xml:space="preserve">N112</t>
  </si>
  <si>
    <t xml:space="preserve">N113</t>
  </si>
  <si>
    <t xml:space="preserve">N114</t>
  </si>
  <si>
    <t xml:space="preserve">N115</t>
  </si>
  <si>
    <t xml:space="preserve">N116</t>
  </si>
  <si>
    <t xml:space="preserve">N117</t>
  </si>
  <si>
    <t xml:space="preserve">N118</t>
  </si>
  <si>
    <t xml:space="preserve">N119</t>
  </si>
  <si>
    <t xml:space="preserve">N120</t>
  </si>
  <si>
    <t xml:space="preserve">N121</t>
  </si>
  <si>
    <t xml:space="preserve">N122</t>
  </si>
  <si>
    <t xml:space="preserve">N123</t>
  </si>
  <si>
    <t xml:space="preserve">N124</t>
  </si>
  <si>
    <t xml:space="preserve">N125</t>
  </si>
  <si>
    <t xml:space="preserve">N126</t>
  </si>
  <si>
    <t xml:space="preserve">N127</t>
  </si>
  <si>
    <t xml:space="preserve">N128</t>
  </si>
  <si>
    <t xml:space="preserve">N129</t>
  </si>
  <si>
    <t xml:space="preserve">N130</t>
  </si>
  <si>
    <t xml:space="preserve">N131</t>
  </si>
  <si>
    <t xml:space="preserve">N132</t>
  </si>
  <si>
    <t xml:space="preserve">N133</t>
  </si>
  <si>
    <t xml:space="preserve">N134</t>
  </si>
  <si>
    <t xml:space="preserve">N135</t>
  </si>
  <si>
    <t xml:space="preserve">N136</t>
  </si>
  <si>
    <t xml:space="preserve">N137</t>
  </si>
  <si>
    <t xml:space="preserve">N138</t>
  </si>
  <si>
    <t xml:space="preserve">N139</t>
  </si>
  <si>
    <t xml:space="preserve">N140</t>
  </si>
  <si>
    <t xml:space="preserve">N141</t>
  </si>
  <si>
    <t xml:space="preserve">N142</t>
  </si>
  <si>
    <t xml:space="preserve">N143</t>
  </si>
  <si>
    <t xml:space="preserve">N144</t>
  </si>
  <si>
    <t xml:space="preserve">N145</t>
  </si>
  <si>
    <t xml:space="preserve">N146</t>
  </si>
  <si>
    <t xml:space="preserve">N147</t>
  </si>
  <si>
    <t xml:space="preserve">N148</t>
  </si>
  <si>
    <t xml:space="preserve">N149</t>
  </si>
  <si>
    <t xml:space="preserve">N150</t>
  </si>
  <si>
    <t xml:space="preserve">N151</t>
  </si>
  <si>
    <t xml:space="preserve">N152</t>
  </si>
  <si>
    <t xml:space="preserve">N153</t>
  </si>
  <si>
    <t xml:space="preserve">N154</t>
  </si>
  <si>
    <t xml:space="preserve">N155</t>
  </si>
  <si>
    <t xml:space="preserve">N156</t>
  </si>
  <si>
    <t xml:space="preserve">N157</t>
  </si>
  <si>
    <t xml:space="preserve">N158</t>
  </si>
  <si>
    <t xml:space="preserve">N159</t>
  </si>
  <si>
    <t xml:space="preserve">N160</t>
  </si>
  <si>
    <t xml:space="preserve">N161</t>
  </si>
  <si>
    <t xml:space="preserve">N162</t>
  </si>
  <si>
    <t xml:space="preserve">N163</t>
  </si>
  <si>
    <t xml:space="preserve">N164</t>
  </si>
  <si>
    <t xml:space="preserve">N165</t>
  </si>
  <si>
    <t xml:space="preserve">N166</t>
  </si>
  <si>
    <t xml:space="preserve">N167</t>
  </si>
  <si>
    <t xml:space="preserve">N168</t>
  </si>
  <si>
    <t xml:space="preserve">N169</t>
  </si>
  <si>
    <t xml:space="preserve">N170</t>
  </si>
  <si>
    <t xml:space="preserve">N171</t>
  </si>
  <si>
    <t xml:space="preserve">N172</t>
  </si>
  <si>
    <t xml:space="preserve">N173</t>
  </si>
  <si>
    <t xml:space="preserve">N174</t>
  </si>
  <si>
    <t xml:space="preserve">N175</t>
  </si>
  <si>
    <t xml:space="preserve">N176</t>
  </si>
  <si>
    <t xml:space="preserve">N177</t>
  </si>
  <si>
    <t xml:space="preserve">N178</t>
  </si>
  <si>
    <t xml:space="preserve">N179</t>
  </si>
  <si>
    <t xml:space="preserve">N180</t>
  </si>
  <si>
    <t xml:space="preserve">N181</t>
  </si>
  <si>
    <t xml:space="preserve">N182</t>
  </si>
  <si>
    <t xml:space="preserve">N183</t>
  </si>
  <si>
    <t xml:space="preserve">N184</t>
  </si>
  <si>
    <t xml:space="preserve">N185</t>
  </si>
  <si>
    <t xml:space="preserve">N186</t>
  </si>
  <si>
    <t xml:space="preserve">N187</t>
  </si>
  <si>
    <t xml:space="preserve">N188</t>
  </si>
  <si>
    <t xml:space="preserve">N189</t>
  </si>
  <si>
    <t xml:space="preserve">N190</t>
  </si>
  <si>
    <t xml:space="preserve">N191</t>
  </si>
  <si>
    <t xml:space="preserve">N192</t>
  </si>
  <si>
    <t xml:space="preserve">N193</t>
  </si>
  <si>
    <t xml:space="preserve">N194</t>
  </si>
  <si>
    <t xml:space="preserve">N195</t>
  </si>
  <si>
    <t xml:space="preserve">N196</t>
  </si>
  <si>
    <t xml:space="preserve">N197</t>
  </si>
  <si>
    <t xml:space="preserve">N198</t>
  </si>
  <si>
    <t xml:space="preserve">N199</t>
  </si>
  <si>
    <t xml:space="preserve">N200</t>
  </si>
  <si>
    <t xml:space="preserve">N201</t>
  </si>
  <si>
    <t xml:space="preserve">N202</t>
  </si>
  <si>
    <t xml:space="preserve">N203</t>
  </si>
  <si>
    <t xml:space="preserve">N204</t>
  </si>
  <si>
    <t xml:space="preserve">N205</t>
  </si>
  <si>
    <t xml:space="preserve">N206</t>
  </si>
  <si>
    <t xml:space="preserve">N207</t>
  </si>
  <si>
    <t xml:space="preserve">N208</t>
  </si>
  <si>
    <t xml:space="preserve">N209</t>
  </si>
  <si>
    <t xml:space="preserve">N210</t>
  </si>
  <si>
    <t xml:space="preserve">N211</t>
  </si>
  <si>
    <t xml:space="preserve">N212</t>
  </si>
  <si>
    <t xml:space="preserve">N213</t>
  </si>
  <si>
    <t xml:space="preserve">N214</t>
  </si>
  <si>
    <t xml:space="preserve">N215</t>
  </si>
  <si>
    <t xml:space="preserve">N216</t>
  </si>
  <si>
    <t xml:space="preserve">N217</t>
  </si>
  <si>
    <t xml:space="preserve">N218</t>
  </si>
  <si>
    <t xml:space="preserve">N219</t>
  </si>
  <si>
    <t xml:space="preserve">N220</t>
  </si>
  <si>
    <t xml:space="preserve">N221</t>
  </si>
  <si>
    <t xml:space="preserve">N222</t>
  </si>
  <si>
    <t xml:space="preserve">N223</t>
  </si>
  <si>
    <t xml:space="preserve">N224</t>
  </si>
  <si>
    <t xml:space="preserve">N225</t>
  </si>
  <si>
    <t xml:space="preserve">N226</t>
  </si>
  <si>
    <t xml:space="preserve">N227</t>
  </si>
  <si>
    <t xml:space="preserve">N228</t>
  </si>
  <si>
    <t xml:space="preserve">N229</t>
  </si>
  <si>
    <t xml:space="preserve">N230</t>
  </si>
  <si>
    <t xml:space="preserve">N231</t>
  </si>
  <si>
    <t xml:space="preserve">N232</t>
  </si>
  <si>
    <t xml:space="preserve">N233</t>
  </si>
  <si>
    <t xml:space="preserve">N234</t>
  </si>
  <si>
    <t xml:space="preserve">N235</t>
  </si>
  <si>
    <t xml:space="preserve">N236</t>
  </si>
  <si>
    <t xml:space="preserve">N237</t>
  </si>
  <si>
    <t xml:space="preserve">N238</t>
  </si>
  <si>
    <t xml:space="preserve">N239</t>
  </si>
  <si>
    <t xml:space="preserve">N240</t>
  </si>
  <si>
    <t xml:space="preserve">N241</t>
  </si>
  <si>
    <t xml:space="preserve">N242</t>
  </si>
  <si>
    <t xml:space="preserve">N243</t>
  </si>
  <si>
    <t xml:space="preserve">N244</t>
  </si>
  <si>
    <t xml:space="preserve">N245</t>
  </si>
  <si>
    <t xml:space="preserve">N246</t>
  </si>
  <si>
    <t xml:space="preserve">N247</t>
  </si>
  <si>
    <t xml:space="preserve">N248</t>
  </si>
  <si>
    <t xml:space="preserve">N249</t>
  </si>
  <si>
    <t xml:space="preserve">N250</t>
  </si>
  <si>
    <t xml:space="preserve">N251</t>
  </si>
  <si>
    <t xml:space="preserve">N252</t>
  </si>
  <si>
    <t xml:space="preserve">N253</t>
  </si>
  <si>
    <t xml:space="preserve">N254</t>
  </si>
  <si>
    <t xml:space="preserve">N255</t>
  </si>
  <si>
    <t xml:space="preserve">N256</t>
  </si>
  <si>
    <t xml:space="preserve">N257</t>
  </si>
  <si>
    <t xml:space="preserve">N258</t>
  </si>
  <si>
    <t xml:space="preserve">N259</t>
  </si>
  <si>
    <t xml:space="preserve">N260</t>
  </si>
  <si>
    <t xml:space="preserve">N261</t>
  </si>
  <si>
    <t xml:space="preserve">N262</t>
  </si>
  <si>
    <t xml:space="preserve">N263</t>
  </si>
  <si>
    <t xml:space="preserve">N264</t>
  </si>
  <si>
    <t xml:space="preserve">N265</t>
  </si>
  <si>
    <t xml:space="preserve">N266</t>
  </si>
  <si>
    <t xml:space="preserve">N267</t>
  </si>
  <si>
    <t xml:space="preserve">N268</t>
  </si>
  <si>
    <t xml:space="preserve">N269</t>
  </si>
  <si>
    <t xml:space="preserve">N270</t>
  </si>
  <si>
    <t xml:space="preserve">N271</t>
  </si>
  <si>
    <t xml:space="preserve">N272</t>
  </si>
  <si>
    <t xml:space="preserve">N273</t>
  </si>
  <si>
    <t xml:space="preserve">N274</t>
  </si>
  <si>
    <t xml:space="preserve">N275</t>
  </si>
  <si>
    <t xml:space="preserve">N276</t>
  </si>
  <si>
    <t xml:space="preserve">N277</t>
  </si>
  <si>
    <t xml:space="preserve">N278</t>
  </si>
  <si>
    <t xml:space="preserve">N279</t>
  </si>
  <si>
    <t xml:space="preserve">N280</t>
  </si>
  <si>
    <t xml:space="preserve">N281</t>
  </si>
  <si>
    <t xml:space="preserve">N282</t>
  </si>
  <si>
    <t xml:space="preserve">N283</t>
  </si>
  <si>
    <t xml:space="preserve">N284</t>
  </si>
  <si>
    <t xml:space="preserve">N285</t>
  </si>
  <si>
    <t xml:space="preserve">N286</t>
  </si>
  <si>
    <t xml:space="preserve">N287</t>
  </si>
  <si>
    <t xml:space="preserve">N288</t>
  </si>
  <si>
    <t xml:space="preserve">N289</t>
  </si>
  <si>
    <t xml:space="preserve">N290</t>
  </si>
  <si>
    <t xml:space="preserve">N291</t>
  </si>
  <si>
    <t xml:space="preserve">N292</t>
  </si>
  <si>
    <t xml:space="preserve">N293</t>
  </si>
  <si>
    <t xml:space="preserve">N294</t>
  </si>
  <si>
    <t xml:space="preserve">N295</t>
  </si>
  <si>
    <t xml:space="preserve">N296</t>
  </si>
  <si>
    <t xml:space="preserve">N297</t>
  </si>
  <si>
    <t xml:space="preserve">N298</t>
  </si>
  <si>
    <t xml:space="preserve">N299</t>
  </si>
  <si>
    <t xml:space="preserve">N300</t>
  </si>
  <si>
    <t xml:space="preserve">N301</t>
  </si>
  <si>
    <t xml:space="preserve">N302</t>
  </si>
  <si>
    <t xml:space="preserve">N303</t>
  </si>
  <si>
    <t xml:space="preserve">N304</t>
  </si>
  <si>
    <t xml:space="preserve">N305</t>
  </si>
  <si>
    <t xml:space="preserve">N306</t>
  </si>
  <si>
    <t xml:space="preserve">N307</t>
  </si>
  <si>
    <t xml:space="preserve">N308</t>
  </si>
  <si>
    <t xml:space="preserve">N309</t>
  </si>
  <si>
    <t xml:space="preserve">N310</t>
  </si>
  <si>
    <t xml:space="preserve">N311</t>
  </si>
  <si>
    <t xml:space="preserve">N312</t>
  </si>
  <si>
    <t xml:space="preserve">N313</t>
  </si>
  <si>
    <t xml:space="preserve">N314</t>
  </si>
  <si>
    <t xml:space="preserve">N315</t>
  </si>
  <si>
    <t xml:space="preserve">N316</t>
  </si>
  <si>
    <t xml:space="preserve">N317</t>
  </si>
  <si>
    <t xml:space="preserve">N318</t>
  </si>
  <si>
    <t xml:space="preserve">N319</t>
  </si>
  <si>
    <t xml:space="preserve">N320</t>
  </si>
  <si>
    <t xml:space="preserve">N321</t>
  </si>
  <si>
    <t xml:space="preserve">N322</t>
  </si>
  <si>
    <t xml:space="preserve">N323</t>
  </si>
  <si>
    <t xml:space="preserve">N324</t>
  </si>
  <si>
    <t xml:space="preserve">N325</t>
  </si>
  <si>
    <t xml:space="preserve">N326</t>
  </si>
  <si>
    <t xml:space="preserve">N327</t>
  </si>
  <si>
    <t xml:space="preserve">N328</t>
  </si>
  <si>
    <t xml:space="preserve">N329</t>
  </si>
  <si>
    <t xml:space="preserve">N330</t>
  </si>
  <si>
    <t xml:space="preserve">N331</t>
  </si>
  <si>
    <t xml:space="preserve">N332</t>
  </si>
  <si>
    <t xml:space="preserve">N333</t>
  </si>
  <si>
    <t xml:space="preserve">N334</t>
  </si>
  <si>
    <t xml:space="preserve">N335</t>
  </si>
  <si>
    <t xml:space="preserve">N336</t>
  </si>
  <si>
    <t xml:space="preserve">N337</t>
  </si>
  <si>
    <t xml:space="preserve">N338</t>
  </si>
  <si>
    <t xml:space="preserve">N339</t>
  </si>
  <si>
    <t xml:space="preserve">N340</t>
  </si>
  <si>
    <t xml:space="preserve">N341</t>
  </si>
  <si>
    <t xml:space="preserve">N342</t>
  </si>
  <si>
    <t xml:space="preserve">N343</t>
  </si>
  <si>
    <t xml:space="preserve">N344</t>
  </si>
  <si>
    <t xml:space="preserve">N345</t>
  </si>
  <si>
    <t xml:space="preserve">N346</t>
  </si>
  <si>
    <t xml:space="preserve">N347</t>
  </si>
  <si>
    <t xml:space="preserve">N348</t>
  </si>
  <si>
    <t xml:space="preserve">N349</t>
  </si>
  <si>
    <t xml:space="preserve">N350</t>
  </si>
  <si>
    <t xml:space="preserve">N351</t>
  </si>
  <si>
    <t xml:space="preserve">N352</t>
  </si>
  <si>
    <t xml:space="preserve">N353</t>
  </si>
  <si>
    <t xml:space="preserve">N354</t>
  </si>
  <si>
    <t xml:space="preserve">N355</t>
  </si>
  <si>
    <t xml:space="preserve">N356</t>
  </si>
  <si>
    <t xml:space="preserve">N357</t>
  </si>
  <si>
    <t xml:space="preserve">N358</t>
  </si>
  <si>
    <t xml:space="preserve">N359</t>
  </si>
  <si>
    <t xml:space="preserve">N360</t>
  </si>
  <si>
    <t xml:space="preserve">N361</t>
  </si>
  <si>
    <t xml:space="preserve">(RETRACT)</t>
  </si>
  <si>
    <t xml:space="preserve">G43</t>
  </si>
  <si>
    <t xml:space="preserve">M99</t>
  </si>
  <si>
    <t xml:space="preserve">Tool Path — XY Plane</t>
  </si>
  <si>
    <t xml:space="preserve">Single clean circle = correct</t>
  </si>
  <si>
    <t xml:space="preserve">Z Profile vs C Angle</t>
  </si>
  <si>
    <t xml:space="preserve">Smooth saddle 0-&gt;deep-&gt;0 = correct</t>
  </si>
  <si>
    <t xml:space="preserve">Phi vs C Angle</t>
  </si>
  <si>
    <t xml:space="preserve">Peak = ASIN(I/J) = correct</t>
  </si>
  <si>
    <t xml:space="preserve">B Axis Tilt vs C Angle</t>
  </si>
  <si>
    <t xml:space="preserve">Sinusoid bounded by ASIN(I/J)</t>
  </si>
  <si>
    <t xml:space="preserve">Radius Check (flat = correct)</t>
  </si>
  <si>
    <t xml:space="preserve">Flat line at I = no XY error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</si>
</sst>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0"/>
    <numFmt numFmtId="167" formatCode="0.0"/>
  </numFmts>
  <fonts count="1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CC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Courier New"/>
      <family val="0"/>
      <charset val="1"/>
    </font>
    <font>
      <sz val="10"/>
      <name val="Courier New"/>
      <family val="0"/>
      <charset val="1"/>
    </font>
    <font>
      <b val="true"/>
      <sz val="10"/>
      <name val="Courier New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F4F8F"/>
        <bgColor rgb="FF1C3A5E"/>
      </patternFill>
    </fill>
    <fill>
      <patternFill patternType="solid">
        <fgColor rgb="FF1C3A5E"/>
        <bgColor rgb="FF333333"/>
      </patternFill>
    </fill>
    <fill>
      <patternFill patternType="solid">
        <fgColor rgb="FFE8EEF7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E8EEF7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F0E"/>
      <rgbColor rgb="FF555555"/>
      <rgbColor rgb="FF9467BD"/>
      <rgbColor rgb="FF1C3A5E"/>
      <rgbColor rgb="FF2CA02C"/>
      <rgbColor rgb="FF003300"/>
      <rgbColor rgb="FF333300"/>
      <rgbColor rgb="FFD62728"/>
      <rgbColor rgb="FF993366"/>
      <rgbColor rgb="FF2F4F8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Tool Path — XY Plane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f77b4"/>
            </a:solidFill>
            <a:ln w="15120">
              <a:solidFill>
                <a:srgbClr val="1f77b4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Data!$D$2:$D$362</c:f>
              <c:numCache>
                <c:formatCode>General</c:formatCode>
                <c:ptCount val="361"/>
                <c:pt idx="0">
                  <c:v>1.165</c:v>
                </c:pt>
                <c:pt idx="1">
                  <c:v>1.1648225648572</c:v>
                </c:pt>
                <c:pt idx="2">
                  <c:v>1.16429031347725</c:v>
                </c:pt>
                <c:pt idx="3">
                  <c:v>1.16340340798908</c:v>
                </c:pt>
                <c:pt idx="4">
                  <c:v>1.1621621185527</c:v>
                </c:pt>
                <c:pt idx="5">
                  <c:v>1.16056682327688</c:v>
                </c:pt>
                <c:pt idx="6">
                  <c:v>1.15861800810404</c:v>
                </c:pt>
                <c:pt idx="7">
                  <c:v>1.15631626666214</c:v>
                </c:pt>
                <c:pt idx="8">
                  <c:v>1.15366230008393</c:v>
                </c:pt>
                <c:pt idx="9">
                  <c:v>1.15065691679334</c:v>
                </c:pt>
                <c:pt idx="10">
                  <c:v>1.14730103225922</c:v>
                </c:pt>
                <c:pt idx="11">
                  <c:v>1.14359566871653</c:v>
                </c:pt>
                <c:pt idx="12">
                  <c:v>1.13954195485488</c:v>
                </c:pt>
                <c:pt idx="13">
                  <c:v>1.1351411254748</c:v>
                </c:pt>
                <c:pt idx="14">
                  <c:v>1.13039452111154</c:v>
                </c:pt>
                <c:pt idx="15">
                  <c:v>1.12530358762676</c:v>
                </c:pt>
                <c:pt idx="16">
                  <c:v>1.11986987576814</c:v>
                </c:pt>
                <c:pt idx="17">
                  <c:v>1.11409504069694</c:v>
                </c:pt>
                <c:pt idx="18">
                  <c:v>1.10798084148385</c:v>
                </c:pt>
                <c:pt idx="19">
                  <c:v>1.1015291405732</c:v>
                </c:pt>
                <c:pt idx="20">
                  <c:v>1.09474190321558</c:v>
                </c:pt>
                <c:pt idx="21">
                  <c:v>1.08762119686924</c:v>
                </c:pt>
                <c:pt idx="22">
                  <c:v>1.08016919057031</c:v>
                </c:pt>
                <c:pt idx="23">
                  <c:v>1.07238815427209</c:v>
                </c:pt>
                <c:pt idx="24">
                  <c:v>1.06428045815363</c:v>
                </c:pt>
                <c:pt idx="25">
                  <c:v>1.0558485718977</c:v>
                </c:pt>
                <c:pt idx="26">
                  <c:v>1.04709506393853</c:v>
                </c:pt>
                <c:pt idx="27">
                  <c:v>1.03802260067945</c:v>
                </c:pt>
                <c:pt idx="28">
                  <c:v>1.02863394568065</c:v>
                </c:pt>
                <c:pt idx="29">
                  <c:v>1.0189319588174</c:v>
                </c:pt>
                <c:pt idx="30">
                  <c:v>1.00891959540887</c:v>
                </c:pt>
                <c:pt idx="31">
                  <c:v>0.998599905317961</c:v>
                </c:pt>
                <c:pt idx="32">
                  <c:v>0.987976032022236</c:v>
                </c:pt>
                <c:pt idx="33">
                  <c:v>0.977051211656419</c:v>
                </c:pt>
                <c:pt idx="34">
                  <c:v>0.965828772026624</c:v>
                </c:pt>
                <c:pt idx="35">
                  <c:v>0.954312131596676</c:v>
                </c:pt>
                <c:pt idx="36">
                  <c:v>0.942504798446814</c:v>
                </c:pt>
                <c:pt idx="37">
                  <c:v>0.930410369205096</c:v>
                </c:pt>
                <c:pt idx="38">
                  <c:v>0.918032527951831</c:v>
                </c:pt>
                <c:pt idx="39">
                  <c:v>0.905375045097371</c:v>
                </c:pt>
                <c:pt idx="40">
                  <c:v>0.892441776233609</c:v>
                </c:pt>
                <c:pt idx="41">
                  <c:v>0.87923666095953</c:v>
                </c:pt>
                <c:pt idx="42">
                  <c:v>0.865763721681164</c:v>
                </c:pt>
                <c:pt idx="43">
                  <c:v>0.852027062386334</c:v>
                </c:pt>
                <c:pt idx="44">
                  <c:v>0.838030867394529</c:v>
                </c:pt>
                <c:pt idx="45">
                  <c:v>0.823779400082328</c:v>
                </c:pt>
                <c:pt idx="46">
                  <c:v>0.809277001584732</c:v>
                </c:pt>
                <c:pt idx="47">
                  <c:v>0.794528089472811</c:v>
                </c:pt>
                <c:pt idx="48">
                  <c:v>0.77953715640807</c:v>
                </c:pt>
                <c:pt idx="49">
                  <c:v>0.764308768773941</c:v>
                </c:pt>
                <c:pt idx="50">
                  <c:v>0.748847565284818</c:v>
                </c:pt>
                <c:pt idx="51">
                  <c:v>0.733158255573061</c:v>
                </c:pt>
                <c:pt idx="52">
                  <c:v>0.717245618754392</c:v>
                </c:pt>
                <c:pt idx="53">
                  <c:v>0.701114501972136</c:v>
                </c:pt>
                <c:pt idx="54">
                  <c:v>0.684769818920731</c:v>
                </c:pt>
                <c:pt idx="55">
                  <c:v>0.668216548348969</c:v>
                </c:pt>
                <c:pt idx="56">
                  <c:v>0.65145973254342</c:v>
                </c:pt>
                <c:pt idx="57">
                  <c:v>0.634504475792507</c:v>
                </c:pt>
                <c:pt idx="58">
                  <c:v>0.617355942831684</c:v>
                </c:pt>
                <c:pt idx="59">
                  <c:v>0.600019357270213</c:v>
                </c:pt>
                <c:pt idx="60">
                  <c:v>0.5825</c:v>
                </c:pt>
                <c:pt idx="61">
                  <c:v>0.564803207586983</c:v>
                </c:pt>
                <c:pt idx="62">
                  <c:v>0.546934370645563</c:v>
                </c:pt>
                <c:pt idx="63">
                  <c:v>0.528898932196572</c:v>
                </c:pt>
                <c:pt idx="64">
                  <c:v>0.510702386009275</c:v>
                </c:pt>
                <c:pt idx="65">
                  <c:v>0.492350274927915</c:v>
                </c:pt>
                <c:pt idx="66">
                  <c:v>0.473848189183307</c:v>
                </c:pt>
                <c:pt idx="67">
                  <c:v>0.455201764690004</c:v>
                </c:pt>
                <c:pt idx="68">
                  <c:v>0.436416681329538</c:v>
                </c:pt>
                <c:pt idx="69">
                  <c:v>0.417498661220275</c:v>
                </c:pt>
                <c:pt idx="70">
                  <c:v>0.398453466974404</c:v>
                </c:pt>
                <c:pt idx="71">
                  <c:v>0.379286899942588</c:v>
                </c:pt>
                <c:pt idx="72">
                  <c:v>0.360004798446814</c:v>
                </c:pt>
                <c:pt idx="73">
                  <c:v>0.340613036001988</c:v>
                </c:pt>
                <c:pt idx="74">
                  <c:v>0.321117519526804</c:v>
                </c:pt>
                <c:pt idx="75">
                  <c:v>0.301524187544437</c:v>
                </c:pt>
                <c:pt idx="76">
                  <c:v>0.281839008373613</c:v>
                </c:pt>
                <c:pt idx="77">
                  <c:v>0.262067978310603</c:v>
                </c:pt>
                <c:pt idx="78">
                  <c:v>0.24221711980269</c:v>
                </c:pt>
                <c:pt idx="79">
                  <c:v>0.222292479613675</c:v>
                </c:pt>
                <c:pt idx="80">
                  <c:v>0.202300126981974</c:v>
                </c:pt>
                <c:pt idx="81">
                  <c:v>0.182246151771869</c:v>
                </c:pt>
                <c:pt idx="82">
                  <c:v>0.162136662618476</c:v>
                </c:pt>
                <c:pt idx="83">
                  <c:v>0.141977785066997</c:v>
                </c:pt>
                <c:pt idx="84">
                  <c:v>0.121775659706816</c:v>
                </c:pt>
                <c:pt idx="85">
                  <c:v>0.101536440301022</c:v>
                </c:pt>
                <c:pt idx="86">
                  <c:v>0.0812662919119059</c:v>
                </c:pt>
                <c:pt idx="87">
                  <c:v>0.0609713890230297</c:v>
                </c:pt>
                <c:pt idx="88">
                  <c:v>0.0406579136584138</c:v>
                </c:pt>
                <c:pt idx="89">
                  <c:v>0.0203320534994354</c:v>
                </c:pt>
                <c:pt idx="90">
                  <c:v>7.13356760503333E-017</c:v>
                </c:pt>
                <c:pt idx="91">
                  <c:v>-0.0203320534994353</c:v>
                </c:pt>
                <c:pt idx="92">
                  <c:v>-0.0406579136584134</c:v>
                </c:pt>
                <c:pt idx="93">
                  <c:v>-0.0609713890230296</c:v>
                </c:pt>
                <c:pt idx="94">
                  <c:v>-0.081266291911906</c:v>
                </c:pt>
                <c:pt idx="95">
                  <c:v>-0.101536440301022</c:v>
                </c:pt>
                <c:pt idx="96">
                  <c:v>-0.121775659706816</c:v>
                </c:pt>
                <c:pt idx="97">
                  <c:v>-0.141977785066997</c:v>
                </c:pt>
                <c:pt idx="98">
                  <c:v>-0.162136662618476</c:v>
                </c:pt>
                <c:pt idx="99">
                  <c:v>-0.182246151771869</c:v>
                </c:pt>
                <c:pt idx="100">
                  <c:v>-0.202300126981974</c:v>
                </c:pt>
                <c:pt idx="101">
                  <c:v>-0.222292479613675</c:v>
                </c:pt>
                <c:pt idx="102">
                  <c:v>-0.242217119802689</c:v>
                </c:pt>
                <c:pt idx="103">
                  <c:v>-0.262067978310603</c:v>
                </c:pt>
                <c:pt idx="104">
                  <c:v>-0.281839008373613</c:v>
                </c:pt>
                <c:pt idx="105">
                  <c:v>-0.301524187544437</c:v>
                </c:pt>
                <c:pt idx="106">
                  <c:v>-0.321117519526804</c:v>
                </c:pt>
                <c:pt idx="107">
                  <c:v>-0.340613036001988</c:v>
                </c:pt>
                <c:pt idx="108">
                  <c:v>-0.360004798446814</c:v>
                </c:pt>
                <c:pt idx="109">
                  <c:v>-0.379286899942587</c:v>
                </c:pt>
                <c:pt idx="110">
                  <c:v>-0.398453466974404</c:v>
                </c:pt>
                <c:pt idx="111">
                  <c:v>-0.417498661220275</c:v>
                </c:pt>
                <c:pt idx="112">
                  <c:v>-0.436416681329538</c:v>
                </c:pt>
                <c:pt idx="113">
                  <c:v>-0.455201764690004</c:v>
                </c:pt>
                <c:pt idx="114">
                  <c:v>-0.473848189183307</c:v>
                </c:pt>
                <c:pt idx="115">
                  <c:v>-0.492350274927915</c:v>
                </c:pt>
                <c:pt idx="116">
                  <c:v>-0.510702386009275</c:v>
                </c:pt>
                <c:pt idx="117">
                  <c:v>-0.528898932196572</c:v>
                </c:pt>
                <c:pt idx="118">
                  <c:v>-0.546934370645563</c:v>
                </c:pt>
                <c:pt idx="119">
                  <c:v>-0.564803207586983</c:v>
                </c:pt>
                <c:pt idx="120">
                  <c:v>-0.5825</c:v>
                </c:pt>
                <c:pt idx="121">
                  <c:v>-0.600019357270213</c:v>
                </c:pt>
                <c:pt idx="122">
                  <c:v>-0.617355942831684</c:v>
                </c:pt>
                <c:pt idx="123">
                  <c:v>-0.634504475792507</c:v>
                </c:pt>
                <c:pt idx="124">
                  <c:v>-0.65145973254342</c:v>
                </c:pt>
                <c:pt idx="125">
                  <c:v>-0.668216548348968</c:v>
                </c:pt>
                <c:pt idx="126">
                  <c:v>-0.684769818920731</c:v>
                </c:pt>
                <c:pt idx="127">
                  <c:v>-0.701114501972136</c:v>
                </c:pt>
                <c:pt idx="128">
                  <c:v>-0.717245618754392</c:v>
                </c:pt>
                <c:pt idx="129">
                  <c:v>-0.733158255573061</c:v>
                </c:pt>
                <c:pt idx="130">
                  <c:v>-0.748847565284818</c:v>
                </c:pt>
                <c:pt idx="131">
                  <c:v>-0.764308768773941</c:v>
                </c:pt>
                <c:pt idx="132">
                  <c:v>-0.77953715640807</c:v>
                </c:pt>
                <c:pt idx="133">
                  <c:v>-0.794528089472811</c:v>
                </c:pt>
                <c:pt idx="134">
                  <c:v>-0.809277001584732</c:v>
                </c:pt>
                <c:pt idx="135">
                  <c:v>-0.823779400082328</c:v>
                </c:pt>
                <c:pt idx="136">
                  <c:v>-0.838030867394528</c:v>
                </c:pt>
                <c:pt idx="137">
                  <c:v>-0.852027062386334</c:v>
                </c:pt>
                <c:pt idx="138">
                  <c:v>-0.865763721681164</c:v>
                </c:pt>
                <c:pt idx="139">
                  <c:v>-0.87923666095953</c:v>
                </c:pt>
                <c:pt idx="140">
                  <c:v>-0.892441776233609</c:v>
                </c:pt>
                <c:pt idx="141">
                  <c:v>-0.905375045097371</c:v>
                </c:pt>
                <c:pt idx="142">
                  <c:v>-0.918032527951831</c:v>
                </c:pt>
                <c:pt idx="143">
                  <c:v>-0.930410369205096</c:v>
                </c:pt>
                <c:pt idx="144">
                  <c:v>-0.942504798446814</c:v>
                </c:pt>
                <c:pt idx="145">
                  <c:v>-0.954312131596676</c:v>
                </c:pt>
                <c:pt idx="146">
                  <c:v>-0.965828772026624</c:v>
                </c:pt>
                <c:pt idx="147">
                  <c:v>-0.977051211656419</c:v>
                </c:pt>
                <c:pt idx="148">
                  <c:v>-0.987976032022236</c:v>
                </c:pt>
                <c:pt idx="149">
                  <c:v>-0.998599905317961</c:v>
                </c:pt>
                <c:pt idx="150">
                  <c:v>-1.00891959540887</c:v>
                </c:pt>
                <c:pt idx="151">
                  <c:v>-1.0189319588174</c:v>
                </c:pt>
                <c:pt idx="152">
                  <c:v>-1.02863394568065</c:v>
                </c:pt>
                <c:pt idx="153">
                  <c:v>-1.03802260067945</c:v>
                </c:pt>
                <c:pt idx="154">
                  <c:v>-1.04709506393853</c:v>
                </c:pt>
                <c:pt idx="155">
                  <c:v>-1.0558485718977</c:v>
                </c:pt>
                <c:pt idx="156">
                  <c:v>-1.06428045815363</c:v>
                </c:pt>
                <c:pt idx="157">
                  <c:v>-1.07238815427209</c:v>
                </c:pt>
                <c:pt idx="158">
                  <c:v>-1.08016919057031</c:v>
                </c:pt>
                <c:pt idx="159">
                  <c:v>-1.08762119686924</c:v>
                </c:pt>
                <c:pt idx="160">
                  <c:v>-1.09474190321558</c:v>
                </c:pt>
                <c:pt idx="161">
                  <c:v>-1.1015291405732</c:v>
                </c:pt>
                <c:pt idx="162">
                  <c:v>-1.10798084148385</c:v>
                </c:pt>
                <c:pt idx="163">
                  <c:v>-1.11409504069694</c:v>
                </c:pt>
                <c:pt idx="164">
                  <c:v>-1.11986987576814</c:v>
                </c:pt>
                <c:pt idx="165">
                  <c:v>-1.12530358762676</c:v>
                </c:pt>
                <c:pt idx="166">
                  <c:v>-1.13039452111154</c:v>
                </c:pt>
                <c:pt idx="167">
                  <c:v>-1.1351411254748</c:v>
                </c:pt>
                <c:pt idx="168">
                  <c:v>-1.13954195485488</c:v>
                </c:pt>
                <c:pt idx="169">
                  <c:v>-1.14359566871653</c:v>
                </c:pt>
                <c:pt idx="170">
                  <c:v>-1.14730103225922</c:v>
                </c:pt>
                <c:pt idx="171">
                  <c:v>-1.15065691679334</c:v>
                </c:pt>
                <c:pt idx="172">
                  <c:v>-1.15366230008393</c:v>
                </c:pt>
                <c:pt idx="173">
                  <c:v>-1.15631626666214</c:v>
                </c:pt>
                <c:pt idx="174">
                  <c:v>-1.15861800810404</c:v>
                </c:pt>
                <c:pt idx="175">
                  <c:v>-1.16056682327688</c:v>
                </c:pt>
                <c:pt idx="176">
                  <c:v>-1.1621621185527</c:v>
                </c:pt>
                <c:pt idx="177">
                  <c:v>-1.16340340798908</c:v>
                </c:pt>
                <c:pt idx="178">
                  <c:v>-1.16429031347725</c:v>
                </c:pt>
                <c:pt idx="179">
                  <c:v>-1.1648225648572</c:v>
                </c:pt>
                <c:pt idx="180">
                  <c:v>-1.165</c:v>
                </c:pt>
                <c:pt idx="181">
                  <c:v>-1.1648225648572</c:v>
                </c:pt>
                <c:pt idx="182">
                  <c:v>-1.16429031347725</c:v>
                </c:pt>
                <c:pt idx="183">
                  <c:v>-1.16340340798908</c:v>
                </c:pt>
                <c:pt idx="184">
                  <c:v>-1.1621621185527</c:v>
                </c:pt>
                <c:pt idx="185">
                  <c:v>-1.16056682327688</c:v>
                </c:pt>
                <c:pt idx="186">
                  <c:v>-1.15861800810404</c:v>
                </c:pt>
                <c:pt idx="187">
                  <c:v>-1.15631626666214</c:v>
                </c:pt>
                <c:pt idx="188">
                  <c:v>-1.15366230008393</c:v>
                </c:pt>
                <c:pt idx="189">
                  <c:v>-1.15065691679334</c:v>
                </c:pt>
                <c:pt idx="190">
                  <c:v>-1.14730103225922</c:v>
                </c:pt>
                <c:pt idx="191">
                  <c:v>-1.14359566871653</c:v>
                </c:pt>
                <c:pt idx="192">
                  <c:v>-1.13954195485488</c:v>
                </c:pt>
                <c:pt idx="193">
                  <c:v>-1.1351411254748</c:v>
                </c:pt>
                <c:pt idx="194">
                  <c:v>-1.13039452111154</c:v>
                </c:pt>
                <c:pt idx="195">
                  <c:v>-1.12530358762676</c:v>
                </c:pt>
                <c:pt idx="196">
                  <c:v>-1.11986987576814</c:v>
                </c:pt>
                <c:pt idx="197">
                  <c:v>-1.11409504069694</c:v>
                </c:pt>
                <c:pt idx="198">
                  <c:v>-1.10798084148385</c:v>
                </c:pt>
                <c:pt idx="199">
                  <c:v>-1.1015291405732</c:v>
                </c:pt>
                <c:pt idx="200">
                  <c:v>-1.09474190321558</c:v>
                </c:pt>
                <c:pt idx="201">
                  <c:v>-1.08762119686924</c:v>
                </c:pt>
                <c:pt idx="202">
                  <c:v>-1.08016919057031</c:v>
                </c:pt>
                <c:pt idx="203">
                  <c:v>-1.07238815427209</c:v>
                </c:pt>
                <c:pt idx="204">
                  <c:v>-1.06428045815363</c:v>
                </c:pt>
                <c:pt idx="205">
                  <c:v>-1.0558485718977</c:v>
                </c:pt>
                <c:pt idx="206">
                  <c:v>-1.04709506393853</c:v>
                </c:pt>
                <c:pt idx="207">
                  <c:v>-1.03802260067945</c:v>
                </c:pt>
                <c:pt idx="208">
                  <c:v>-1.02863394568065</c:v>
                </c:pt>
                <c:pt idx="209">
                  <c:v>-1.0189319588174</c:v>
                </c:pt>
                <c:pt idx="210">
                  <c:v>-1.00891959540887</c:v>
                </c:pt>
                <c:pt idx="211">
                  <c:v>-0.998599905317961</c:v>
                </c:pt>
                <c:pt idx="212">
                  <c:v>-0.987976032022236</c:v>
                </c:pt>
                <c:pt idx="213">
                  <c:v>-0.977051211656419</c:v>
                </c:pt>
                <c:pt idx="214">
                  <c:v>-0.965828772026624</c:v>
                </c:pt>
                <c:pt idx="215">
                  <c:v>-0.954312131596676</c:v>
                </c:pt>
                <c:pt idx="216">
                  <c:v>-0.942504798446814</c:v>
                </c:pt>
                <c:pt idx="217">
                  <c:v>-0.930410369205097</c:v>
                </c:pt>
                <c:pt idx="218">
                  <c:v>-0.918032527951831</c:v>
                </c:pt>
                <c:pt idx="219">
                  <c:v>-0.905375045097371</c:v>
                </c:pt>
                <c:pt idx="220">
                  <c:v>-0.892441776233609</c:v>
                </c:pt>
                <c:pt idx="221">
                  <c:v>-0.879236660959529</c:v>
                </c:pt>
                <c:pt idx="222">
                  <c:v>-0.865763721681164</c:v>
                </c:pt>
                <c:pt idx="223">
                  <c:v>-0.852027062386334</c:v>
                </c:pt>
                <c:pt idx="224">
                  <c:v>-0.838030867394529</c:v>
                </c:pt>
                <c:pt idx="225">
                  <c:v>-0.823779400082328</c:v>
                </c:pt>
                <c:pt idx="226">
                  <c:v>-0.809277001584732</c:v>
                </c:pt>
                <c:pt idx="227">
                  <c:v>-0.794528089472811</c:v>
                </c:pt>
                <c:pt idx="228">
                  <c:v>-0.77953715640807</c:v>
                </c:pt>
                <c:pt idx="229">
                  <c:v>-0.764308768773941</c:v>
                </c:pt>
                <c:pt idx="230">
                  <c:v>-0.748847565284819</c:v>
                </c:pt>
                <c:pt idx="231">
                  <c:v>-0.73315825557306</c:v>
                </c:pt>
                <c:pt idx="232">
                  <c:v>-0.717245618754392</c:v>
                </c:pt>
                <c:pt idx="233">
                  <c:v>-0.701114501972136</c:v>
                </c:pt>
                <c:pt idx="234">
                  <c:v>-0.684769818920731</c:v>
                </c:pt>
                <c:pt idx="235">
                  <c:v>-0.668216548348969</c:v>
                </c:pt>
                <c:pt idx="236">
                  <c:v>-0.651459732543421</c:v>
                </c:pt>
                <c:pt idx="237">
                  <c:v>-0.634504475792507</c:v>
                </c:pt>
                <c:pt idx="238">
                  <c:v>-0.617355942831684</c:v>
                </c:pt>
                <c:pt idx="239">
                  <c:v>-0.600019357270214</c:v>
                </c:pt>
                <c:pt idx="240">
                  <c:v>-0.582500000000001</c:v>
                </c:pt>
                <c:pt idx="241">
                  <c:v>-0.564803207586983</c:v>
                </c:pt>
                <c:pt idx="242">
                  <c:v>-0.546934370645563</c:v>
                </c:pt>
                <c:pt idx="243">
                  <c:v>-0.528898932196572</c:v>
                </c:pt>
                <c:pt idx="244">
                  <c:v>-0.510702386009276</c:v>
                </c:pt>
                <c:pt idx="245">
                  <c:v>-0.492350274927915</c:v>
                </c:pt>
                <c:pt idx="246">
                  <c:v>-0.473848189183307</c:v>
                </c:pt>
                <c:pt idx="247">
                  <c:v>-0.455201764690004</c:v>
                </c:pt>
                <c:pt idx="248">
                  <c:v>-0.436416681329538</c:v>
                </c:pt>
                <c:pt idx="249">
                  <c:v>-0.417498661220275</c:v>
                </c:pt>
                <c:pt idx="250">
                  <c:v>-0.398453466974405</c:v>
                </c:pt>
                <c:pt idx="251">
                  <c:v>-0.379286899942588</c:v>
                </c:pt>
                <c:pt idx="252">
                  <c:v>-0.360004798446814</c:v>
                </c:pt>
                <c:pt idx="253">
                  <c:v>-0.340613036001989</c:v>
                </c:pt>
                <c:pt idx="254">
                  <c:v>-0.321117519526804</c:v>
                </c:pt>
                <c:pt idx="255">
                  <c:v>-0.301524187544437</c:v>
                </c:pt>
                <c:pt idx="256">
                  <c:v>-0.281839008373613</c:v>
                </c:pt>
                <c:pt idx="257">
                  <c:v>-0.262067978310603</c:v>
                </c:pt>
                <c:pt idx="258">
                  <c:v>-0.24221711980269</c:v>
                </c:pt>
                <c:pt idx="259">
                  <c:v>-0.222292479613675</c:v>
                </c:pt>
                <c:pt idx="260">
                  <c:v>-0.202300126981974</c:v>
                </c:pt>
                <c:pt idx="261">
                  <c:v>-0.182246151771869</c:v>
                </c:pt>
                <c:pt idx="262">
                  <c:v>-0.162136662618477</c:v>
                </c:pt>
                <c:pt idx="263">
                  <c:v>-0.141977785066998</c:v>
                </c:pt>
                <c:pt idx="264">
                  <c:v>-0.121775659706817</c:v>
                </c:pt>
                <c:pt idx="265">
                  <c:v>-0.101536440301022</c:v>
                </c:pt>
                <c:pt idx="266">
                  <c:v>-0.0812662919119063</c:v>
                </c:pt>
                <c:pt idx="267">
                  <c:v>-0.0609713890230291</c:v>
                </c:pt>
                <c:pt idx="268">
                  <c:v>-0.0406579136584134</c:v>
                </c:pt>
                <c:pt idx="269">
                  <c:v>-0.0203320534994353</c:v>
                </c:pt>
                <c:pt idx="270">
                  <c:v>-2.14007028151E-016</c:v>
                </c:pt>
                <c:pt idx="271">
                  <c:v>0.0203320534994348</c:v>
                </c:pt>
                <c:pt idx="272">
                  <c:v>0.040657913658413</c:v>
                </c:pt>
                <c:pt idx="273">
                  <c:v>0.0609713890230287</c:v>
                </c:pt>
                <c:pt idx="274">
                  <c:v>0.0812662919119059</c:v>
                </c:pt>
                <c:pt idx="275">
                  <c:v>0.101536440301021</c:v>
                </c:pt>
                <c:pt idx="276">
                  <c:v>0.121775659706817</c:v>
                </c:pt>
                <c:pt idx="277">
                  <c:v>0.141977785066997</c:v>
                </c:pt>
                <c:pt idx="278">
                  <c:v>0.162136662618476</c:v>
                </c:pt>
                <c:pt idx="279">
                  <c:v>0.182246151771869</c:v>
                </c:pt>
                <c:pt idx="280">
                  <c:v>0.202300126981973</c:v>
                </c:pt>
                <c:pt idx="281">
                  <c:v>0.222292479613674</c:v>
                </c:pt>
                <c:pt idx="282">
                  <c:v>0.24221711980269</c:v>
                </c:pt>
                <c:pt idx="283">
                  <c:v>0.262067978310603</c:v>
                </c:pt>
                <c:pt idx="284">
                  <c:v>0.281839008373613</c:v>
                </c:pt>
                <c:pt idx="285">
                  <c:v>0.301524187544436</c:v>
                </c:pt>
                <c:pt idx="286">
                  <c:v>0.321117519526803</c:v>
                </c:pt>
                <c:pt idx="287">
                  <c:v>0.340613036001988</c:v>
                </c:pt>
                <c:pt idx="288">
                  <c:v>0.360004798446814</c:v>
                </c:pt>
                <c:pt idx="289">
                  <c:v>0.379286899942587</c:v>
                </c:pt>
                <c:pt idx="290">
                  <c:v>0.398453466974404</c:v>
                </c:pt>
                <c:pt idx="291">
                  <c:v>0.417498661220275</c:v>
                </c:pt>
                <c:pt idx="292">
                  <c:v>0.436416681329537</c:v>
                </c:pt>
                <c:pt idx="293">
                  <c:v>0.455201764690004</c:v>
                </c:pt>
                <c:pt idx="294">
                  <c:v>0.473848189183307</c:v>
                </c:pt>
                <c:pt idx="295">
                  <c:v>0.492350274927914</c:v>
                </c:pt>
                <c:pt idx="296">
                  <c:v>0.510702386009275</c:v>
                </c:pt>
                <c:pt idx="297">
                  <c:v>0.528898932196572</c:v>
                </c:pt>
                <c:pt idx="298">
                  <c:v>0.546934370645562</c:v>
                </c:pt>
                <c:pt idx="299">
                  <c:v>0.564803207586983</c:v>
                </c:pt>
                <c:pt idx="300">
                  <c:v>0.5825</c:v>
                </c:pt>
                <c:pt idx="301">
                  <c:v>0.600019357270213</c:v>
                </c:pt>
                <c:pt idx="302">
                  <c:v>0.617355942831684</c:v>
                </c:pt>
                <c:pt idx="303">
                  <c:v>0.634504475792506</c:v>
                </c:pt>
                <c:pt idx="304">
                  <c:v>0.65145973254342</c:v>
                </c:pt>
                <c:pt idx="305">
                  <c:v>0.668216548348969</c:v>
                </c:pt>
                <c:pt idx="306">
                  <c:v>0.684769818920731</c:v>
                </c:pt>
                <c:pt idx="307">
                  <c:v>0.701114501972136</c:v>
                </c:pt>
                <c:pt idx="308">
                  <c:v>0.717245618754391</c:v>
                </c:pt>
                <c:pt idx="309">
                  <c:v>0.73315825557306</c:v>
                </c:pt>
                <c:pt idx="310">
                  <c:v>0.748847565284818</c:v>
                </c:pt>
                <c:pt idx="311">
                  <c:v>0.764308768773941</c:v>
                </c:pt>
                <c:pt idx="312">
                  <c:v>0.77953715640807</c:v>
                </c:pt>
                <c:pt idx="313">
                  <c:v>0.794528089472811</c:v>
                </c:pt>
                <c:pt idx="314">
                  <c:v>0.809277001584732</c:v>
                </c:pt>
                <c:pt idx="315">
                  <c:v>0.823779400082328</c:v>
                </c:pt>
                <c:pt idx="316">
                  <c:v>0.838030867394528</c:v>
                </c:pt>
                <c:pt idx="317">
                  <c:v>0.852027062386333</c:v>
                </c:pt>
                <c:pt idx="318">
                  <c:v>0.865763721681164</c:v>
                </c:pt>
                <c:pt idx="319">
                  <c:v>0.879236660959529</c:v>
                </c:pt>
                <c:pt idx="320">
                  <c:v>0.892441776233609</c:v>
                </c:pt>
                <c:pt idx="321">
                  <c:v>0.905375045097371</c:v>
                </c:pt>
                <c:pt idx="322">
                  <c:v>0.918032527951831</c:v>
                </c:pt>
                <c:pt idx="323">
                  <c:v>0.930410369205096</c:v>
                </c:pt>
                <c:pt idx="324">
                  <c:v>0.942504798446814</c:v>
                </c:pt>
                <c:pt idx="325">
                  <c:v>0.954312131596675</c:v>
                </c:pt>
                <c:pt idx="326">
                  <c:v>0.965828772026623</c:v>
                </c:pt>
                <c:pt idx="327">
                  <c:v>0.977051211656419</c:v>
                </c:pt>
                <c:pt idx="328">
                  <c:v>0.987976032022236</c:v>
                </c:pt>
                <c:pt idx="329">
                  <c:v>0.998599905317961</c:v>
                </c:pt>
                <c:pt idx="330">
                  <c:v>1.00891959540887</c:v>
                </c:pt>
                <c:pt idx="331">
                  <c:v>1.0189319588174</c:v>
                </c:pt>
                <c:pt idx="332">
                  <c:v>1.02863394568065</c:v>
                </c:pt>
                <c:pt idx="333">
                  <c:v>1.03802260067945</c:v>
                </c:pt>
                <c:pt idx="334">
                  <c:v>1.04709506393853</c:v>
                </c:pt>
                <c:pt idx="335">
                  <c:v>1.0558485718977</c:v>
                </c:pt>
                <c:pt idx="336">
                  <c:v>1.06428045815363</c:v>
                </c:pt>
                <c:pt idx="337">
                  <c:v>1.07238815427209</c:v>
                </c:pt>
                <c:pt idx="338">
                  <c:v>1.08016919057031</c:v>
                </c:pt>
                <c:pt idx="339">
                  <c:v>1.08762119686924</c:v>
                </c:pt>
                <c:pt idx="340">
                  <c:v>1.09474190321558</c:v>
                </c:pt>
                <c:pt idx="341">
                  <c:v>1.1015291405732</c:v>
                </c:pt>
                <c:pt idx="342">
                  <c:v>1.10798084148385</c:v>
                </c:pt>
                <c:pt idx="343">
                  <c:v>1.11409504069694</c:v>
                </c:pt>
                <c:pt idx="344">
                  <c:v>1.11986987576814</c:v>
                </c:pt>
                <c:pt idx="345">
                  <c:v>1.12530358762676</c:v>
                </c:pt>
                <c:pt idx="346">
                  <c:v>1.13039452111154</c:v>
                </c:pt>
                <c:pt idx="347">
                  <c:v>1.1351411254748</c:v>
                </c:pt>
                <c:pt idx="348">
                  <c:v>1.13954195485488</c:v>
                </c:pt>
                <c:pt idx="349">
                  <c:v>1.14359566871653</c:v>
                </c:pt>
                <c:pt idx="350">
                  <c:v>1.14730103225922</c:v>
                </c:pt>
                <c:pt idx="351">
                  <c:v>1.15065691679334</c:v>
                </c:pt>
                <c:pt idx="352">
                  <c:v>1.15366230008393</c:v>
                </c:pt>
                <c:pt idx="353">
                  <c:v>1.15631626666214</c:v>
                </c:pt>
                <c:pt idx="354">
                  <c:v>1.15861800810404</c:v>
                </c:pt>
                <c:pt idx="355">
                  <c:v>1.16056682327688</c:v>
                </c:pt>
                <c:pt idx="356">
                  <c:v>1.1621621185527</c:v>
                </c:pt>
                <c:pt idx="357">
                  <c:v>1.16340340798908</c:v>
                </c:pt>
                <c:pt idx="358">
                  <c:v>1.16429031347725</c:v>
                </c:pt>
                <c:pt idx="359">
                  <c:v>1.1648225648572</c:v>
                </c:pt>
                <c:pt idx="360">
                  <c:v>1.165</c:v>
                </c:pt>
              </c:numCache>
            </c:numRef>
          </c:xVal>
          <c:yVal>
            <c:numRef>
              <c:f>Data!$E$2:$E$362</c:f>
              <c:numCache>
                <c:formatCode>General</c:formatCode>
                <c:ptCount val="361"/>
                <c:pt idx="0">
                  <c:v>0</c:v>
                </c:pt>
                <c:pt idx="1">
                  <c:v>0.0203320534994353</c:v>
                </c:pt>
                <c:pt idx="2">
                  <c:v>0.0406579136584136</c:v>
                </c:pt>
                <c:pt idx="3">
                  <c:v>0.0609713890230296</c:v>
                </c:pt>
                <c:pt idx="4">
                  <c:v>0.081266291911906</c:v>
                </c:pt>
                <c:pt idx="5">
                  <c:v>0.101536440301022</c:v>
                </c:pt>
                <c:pt idx="6">
                  <c:v>0.121775659706816</c:v>
                </c:pt>
                <c:pt idx="7">
                  <c:v>0.141977785066997</c:v>
                </c:pt>
                <c:pt idx="8">
                  <c:v>0.162136662618476</c:v>
                </c:pt>
                <c:pt idx="9">
                  <c:v>0.182246151771869</c:v>
                </c:pt>
                <c:pt idx="10">
                  <c:v>0.202300126981974</c:v>
                </c:pt>
                <c:pt idx="11">
                  <c:v>0.222292479613675</c:v>
                </c:pt>
                <c:pt idx="12">
                  <c:v>0.24221711980269</c:v>
                </c:pt>
                <c:pt idx="13">
                  <c:v>0.262067978310603</c:v>
                </c:pt>
                <c:pt idx="14">
                  <c:v>0.281839008373613</c:v>
                </c:pt>
                <c:pt idx="15">
                  <c:v>0.301524187544437</c:v>
                </c:pt>
                <c:pt idx="16">
                  <c:v>0.321117519526804</c:v>
                </c:pt>
                <c:pt idx="17">
                  <c:v>0.340613036001988</c:v>
                </c:pt>
                <c:pt idx="18">
                  <c:v>0.360004798446814</c:v>
                </c:pt>
                <c:pt idx="19">
                  <c:v>0.379286899942588</c:v>
                </c:pt>
                <c:pt idx="20">
                  <c:v>0.398453466974404</c:v>
                </c:pt>
                <c:pt idx="21">
                  <c:v>0.417498661220275</c:v>
                </c:pt>
                <c:pt idx="22">
                  <c:v>0.436416681329538</c:v>
                </c:pt>
                <c:pt idx="23">
                  <c:v>0.455201764690004</c:v>
                </c:pt>
                <c:pt idx="24">
                  <c:v>0.473848189183307</c:v>
                </c:pt>
                <c:pt idx="25">
                  <c:v>0.492350274927915</c:v>
                </c:pt>
                <c:pt idx="26">
                  <c:v>0.510702386009275</c:v>
                </c:pt>
                <c:pt idx="27">
                  <c:v>0.528898932196572</c:v>
                </c:pt>
                <c:pt idx="28">
                  <c:v>0.546934370645563</c:v>
                </c:pt>
                <c:pt idx="29">
                  <c:v>0.564803207586983</c:v>
                </c:pt>
                <c:pt idx="30">
                  <c:v>0.5825</c:v>
                </c:pt>
                <c:pt idx="31">
                  <c:v>0.600019357270213</c:v>
                </c:pt>
                <c:pt idx="32">
                  <c:v>0.617355942831684</c:v>
                </c:pt>
                <c:pt idx="33">
                  <c:v>0.634504475792507</c:v>
                </c:pt>
                <c:pt idx="34">
                  <c:v>0.65145973254342</c:v>
                </c:pt>
                <c:pt idx="35">
                  <c:v>0.668216548348969</c:v>
                </c:pt>
                <c:pt idx="36">
                  <c:v>0.684769818920731</c:v>
                </c:pt>
                <c:pt idx="37">
                  <c:v>0.701114501972136</c:v>
                </c:pt>
                <c:pt idx="38">
                  <c:v>0.717245618754392</c:v>
                </c:pt>
                <c:pt idx="39">
                  <c:v>0.733158255573061</c:v>
                </c:pt>
                <c:pt idx="40">
                  <c:v>0.748847565284818</c:v>
                </c:pt>
                <c:pt idx="41">
                  <c:v>0.764308768773941</c:v>
                </c:pt>
                <c:pt idx="42">
                  <c:v>0.77953715640807</c:v>
                </c:pt>
                <c:pt idx="43">
                  <c:v>0.794528089472811</c:v>
                </c:pt>
                <c:pt idx="44">
                  <c:v>0.809277001584732</c:v>
                </c:pt>
                <c:pt idx="45">
                  <c:v>0.823779400082328</c:v>
                </c:pt>
                <c:pt idx="46">
                  <c:v>0.838030867394529</c:v>
                </c:pt>
                <c:pt idx="47">
                  <c:v>0.852027062386334</c:v>
                </c:pt>
                <c:pt idx="48">
                  <c:v>0.865763721681164</c:v>
                </c:pt>
                <c:pt idx="49">
                  <c:v>0.879236660959529</c:v>
                </c:pt>
                <c:pt idx="50">
                  <c:v>0.892441776233609</c:v>
                </c:pt>
                <c:pt idx="51">
                  <c:v>0.905375045097371</c:v>
                </c:pt>
                <c:pt idx="52">
                  <c:v>0.918032527951831</c:v>
                </c:pt>
                <c:pt idx="53">
                  <c:v>0.930410369205096</c:v>
                </c:pt>
                <c:pt idx="54">
                  <c:v>0.942504798446814</c:v>
                </c:pt>
                <c:pt idx="55">
                  <c:v>0.954312131596676</c:v>
                </c:pt>
                <c:pt idx="56">
                  <c:v>0.965828772026624</c:v>
                </c:pt>
                <c:pt idx="57">
                  <c:v>0.977051211656419</c:v>
                </c:pt>
                <c:pt idx="58">
                  <c:v>0.987976032022236</c:v>
                </c:pt>
                <c:pt idx="59">
                  <c:v>0.998599905317961</c:v>
                </c:pt>
                <c:pt idx="60">
                  <c:v>1.00891959540887</c:v>
                </c:pt>
                <c:pt idx="61">
                  <c:v>1.0189319588174</c:v>
                </c:pt>
                <c:pt idx="62">
                  <c:v>1.02863394568065</c:v>
                </c:pt>
                <c:pt idx="63">
                  <c:v>1.03802260067945</c:v>
                </c:pt>
                <c:pt idx="64">
                  <c:v>1.04709506393853</c:v>
                </c:pt>
                <c:pt idx="65">
                  <c:v>1.0558485718977</c:v>
                </c:pt>
                <c:pt idx="66">
                  <c:v>1.06428045815363</c:v>
                </c:pt>
                <c:pt idx="67">
                  <c:v>1.07238815427209</c:v>
                </c:pt>
                <c:pt idx="68">
                  <c:v>1.08016919057031</c:v>
                </c:pt>
                <c:pt idx="69">
                  <c:v>1.08762119686924</c:v>
                </c:pt>
                <c:pt idx="70">
                  <c:v>1.09474190321558</c:v>
                </c:pt>
                <c:pt idx="71">
                  <c:v>1.1015291405732</c:v>
                </c:pt>
                <c:pt idx="72">
                  <c:v>1.10798084148385</c:v>
                </c:pt>
                <c:pt idx="73">
                  <c:v>1.11409504069694</c:v>
                </c:pt>
                <c:pt idx="74">
                  <c:v>1.11986987576814</c:v>
                </c:pt>
                <c:pt idx="75">
                  <c:v>1.12530358762676</c:v>
                </c:pt>
                <c:pt idx="76">
                  <c:v>1.13039452111154</c:v>
                </c:pt>
                <c:pt idx="77">
                  <c:v>1.1351411254748</c:v>
                </c:pt>
                <c:pt idx="78">
                  <c:v>1.13954195485488</c:v>
                </c:pt>
                <c:pt idx="79">
                  <c:v>1.14359566871653</c:v>
                </c:pt>
                <c:pt idx="80">
                  <c:v>1.14730103225922</c:v>
                </c:pt>
                <c:pt idx="81">
                  <c:v>1.15065691679334</c:v>
                </c:pt>
                <c:pt idx="82">
                  <c:v>1.15366230008393</c:v>
                </c:pt>
                <c:pt idx="83">
                  <c:v>1.15631626666214</c:v>
                </c:pt>
                <c:pt idx="84">
                  <c:v>1.15861800810404</c:v>
                </c:pt>
                <c:pt idx="85">
                  <c:v>1.16056682327688</c:v>
                </c:pt>
                <c:pt idx="86">
                  <c:v>1.1621621185527</c:v>
                </c:pt>
                <c:pt idx="87">
                  <c:v>1.16340340798908</c:v>
                </c:pt>
                <c:pt idx="88">
                  <c:v>1.16429031347725</c:v>
                </c:pt>
                <c:pt idx="89">
                  <c:v>1.1648225648572</c:v>
                </c:pt>
                <c:pt idx="90">
                  <c:v>1.165</c:v>
                </c:pt>
                <c:pt idx="91">
                  <c:v>1.1648225648572</c:v>
                </c:pt>
                <c:pt idx="92">
                  <c:v>1.16429031347725</c:v>
                </c:pt>
                <c:pt idx="93">
                  <c:v>1.16340340798908</c:v>
                </c:pt>
                <c:pt idx="94">
                  <c:v>1.1621621185527</c:v>
                </c:pt>
                <c:pt idx="95">
                  <c:v>1.16056682327688</c:v>
                </c:pt>
                <c:pt idx="96">
                  <c:v>1.15861800810404</c:v>
                </c:pt>
                <c:pt idx="97">
                  <c:v>1.15631626666214</c:v>
                </c:pt>
                <c:pt idx="98">
                  <c:v>1.15366230008393</c:v>
                </c:pt>
                <c:pt idx="99">
                  <c:v>1.15065691679334</c:v>
                </c:pt>
                <c:pt idx="100">
                  <c:v>1.14730103225922</c:v>
                </c:pt>
                <c:pt idx="101">
                  <c:v>1.14359566871653</c:v>
                </c:pt>
                <c:pt idx="102">
                  <c:v>1.13954195485488</c:v>
                </c:pt>
                <c:pt idx="103">
                  <c:v>1.1351411254748</c:v>
                </c:pt>
                <c:pt idx="104">
                  <c:v>1.13039452111154</c:v>
                </c:pt>
                <c:pt idx="105">
                  <c:v>1.12530358762676</c:v>
                </c:pt>
                <c:pt idx="106">
                  <c:v>1.11986987576814</c:v>
                </c:pt>
                <c:pt idx="107">
                  <c:v>1.11409504069694</c:v>
                </c:pt>
                <c:pt idx="108">
                  <c:v>1.10798084148385</c:v>
                </c:pt>
                <c:pt idx="109">
                  <c:v>1.1015291405732</c:v>
                </c:pt>
                <c:pt idx="110">
                  <c:v>1.09474190321558</c:v>
                </c:pt>
                <c:pt idx="111">
                  <c:v>1.08762119686924</c:v>
                </c:pt>
                <c:pt idx="112">
                  <c:v>1.08016919057031</c:v>
                </c:pt>
                <c:pt idx="113">
                  <c:v>1.07238815427209</c:v>
                </c:pt>
                <c:pt idx="114">
                  <c:v>1.06428045815363</c:v>
                </c:pt>
                <c:pt idx="115">
                  <c:v>1.0558485718977</c:v>
                </c:pt>
                <c:pt idx="116">
                  <c:v>1.04709506393853</c:v>
                </c:pt>
                <c:pt idx="117">
                  <c:v>1.03802260067945</c:v>
                </c:pt>
                <c:pt idx="118">
                  <c:v>1.02863394568065</c:v>
                </c:pt>
                <c:pt idx="119">
                  <c:v>1.0189319588174</c:v>
                </c:pt>
                <c:pt idx="120">
                  <c:v>1.00891959540887</c:v>
                </c:pt>
                <c:pt idx="121">
                  <c:v>0.998599905317961</c:v>
                </c:pt>
                <c:pt idx="122">
                  <c:v>0.987976032022236</c:v>
                </c:pt>
                <c:pt idx="123">
                  <c:v>0.977051211656419</c:v>
                </c:pt>
                <c:pt idx="124">
                  <c:v>0.965828772026624</c:v>
                </c:pt>
                <c:pt idx="125">
                  <c:v>0.954312131596676</c:v>
                </c:pt>
                <c:pt idx="126">
                  <c:v>0.942504798446814</c:v>
                </c:pt>
                <c:pt idx="127">
                  <c:v>0.930410369205096</c:v>
                </c:pt>
                <c:pt idx="128">
                  <c:v>0.918032527951831</c:v>
                </c:pt>
                <c:pt idx="129">
                  <c:v>0.905375045097371</c:v>
                </c:pt>
                <c:pt idx="130">
                  <c:v>0.892441776233609</c:v>
                </c:pt>
                <c:pt idx="131">
                  <c:v>0.87923666095953</c:v>
                </c:pt>
                <c:pt idx="132">
                  <c:v>0.865763721681165</c:v>
                </c:pt>
                <c:pt idx="133">
                  <c:v>0.852027062386334</c:v>
                </c:pt>
                <c:pt idx="134">
                  <c:v>0.838030867394529</c:v>
                </c:pt>
                <c:pt idx="135">
                  <c:v>0.823779400082328</c:v>
                </c:pt>
                <c:pt idx="136">
                  <c:v>0.809277001584732</c:v>
                </c:pt>
                <c:pt idx="137">
                  <c:v>0.794528089472811</c:v>
                </c:pt>
                <c:pt idx="138">
                  <c:v>0.77953715640807</c:v>
                </c:pt>
                <c:pt idx="139">
                  <c:v>0.764308768773941</c:v>
                </c:pt>
                <c:pt idx="140">
                  <c:v>0.748847565284819</c:v>
                </c:pt>
                <c:pt idx="141">
                  <c:v>0.733158255573061</c:v>
                </c:pt>
                <c:pt idx="142">
                  <c:v>0.717245618754392</c:v>
                </c:pt>
                <c:pt idx="143">
                  <c:v>0.701114501972137</c:v>
                </c:pt>
                <c:pt idx="144">
                  <c:v>0.684769818920731</c:v>
                </c:pt>
                <c:pt idx="145">
                  <c:v>0.668216548348969</c:v>
                </c:pt>
                <c:pt idx="146">
                  <c:v>0.65145973254342</c:v>
                </c:pt>
                <c:pt idx="147">
                  <c:v>0.634504475792507</c:v>
                </c:pt>
                <c:pt idx="148">
                  <c:v>0.617355942831684</c:v>
                </c:pt>
                <c:pt idx="149">
                  <c:v>0.600019357270213</c:v>
                </c:pt>
                <c:pt idx="150">
                  <c:v>0.5825</c:v>
                </c:pt>
                <c:pt idx="151">
                  <c:v>0.564803207586983</c:v>
                </c:pt>
                <c:pt idx="152">
                  <c:v>0.546934370645563</c:v>
                </c:pt>
                <c:pt idx="153">
                  <c:v>0.528898932196572</c:v>
                </c:pt>
                <c:pt idx="154">
                  <c:v>0.510702386009276</c:v>
                </c:pt>
                <c:pt idx="155">
                  <c:v>0.492350274927915</c:v>
                </c:pt>
                <c:pt idx="156">
                  <c:v>0.473848189183307</c:v>
                </c:pt>
                <c:pt idx="157">
                  <c:v>0.455201764690004</c:v>
                </c:pt>
                <c:pt idx="158">
                  <c:v>0.436416681329538</c:v>
                </c:pt>
                <c:pt idx="159">
                  <c:v>0.417498661220275</c:v>
                </c:pt>
                <c:pt idx="160">
                  <c:v>0.398453466974404</c:v>
                </c:pt>
                <c:pt idx="161">
                  <c:v>0.379286899942587</c:v>
                </c:pt>
                <c:pt idx="162">
                  <c:v>0.360004798446814</c:v>
                </c:pt>
                <c:pt idx="163">
                  <c:v>0.340613036001989</c:v>
                </c:pt>
                <c:pt idx="164">
                  <c:v>0.321117519526804</c:v>
                </c:pt>
                <c:pt idx="165">
                  <c:v>0.301524187544437</c:v>
                </c:pt>
                <c:pt idx="166">
                  <c:v>0.281839008373613</c:v>
                </c:pt>
                <c:pt idx="167">
                  <c:v>0.262067978310603</c:v>
                </c:pt>
                <c:pt idx="168">
                  <c:v>0.24221711980269</c:v>
                </c:pt>
                <c:pt idx="169">
                  <c:v>0.222292479613675</c:v>
                </c:pt>
                <c:pt idx="170">
                  <c:v>0.202300126981974</c:v>
                </c:pt>
                <c:pt idx="171">
                  <c:v>0.182246151771869</c:v>
                </c:pt>
                <c:pt idx="172">
                  <c:v>0.162136662618476</c:v>
                </c:pt>
                <c:pt idx="173">
                  <c:v>0.141977785066997</c:v>
                </c:pt>
                <c:pt idx="174">
                  <c:v>0.121775659706817</c:v>
                </c:pt>
                <c:pt idx="175">
                  <c:v>0.101536440301022</c:v>
                </c:pt>
                <c:pt idx="176">
                  <c:v>0.0812662919119062</c:v>
                </c:pt>
                <c:pt idx="177">
                  <c:v>0.0609713890230301</c:v>
                </c:pt>
                <c:pt idx="178">
                  <c:v>0.0406579136584138</c:v>
                </c:pt>
                <c:pt idx="179">
                  <c:v>0.0203320534994352</c:v>
                </c:pt>
                <c:pt idx="180">
                  <c:v>1.42671352100667E-016</c:v>
                </c:pt>
                <c:pt idx="181">
                  <c:v>-0.0203320534994349</c:v>
                </c:pt>
                <c:pt idx="182">
                  <c:v>-0.0406579136584136</c:v>
                </c:pt>
                <c:pt idx="183">
                  <c:v>-0.0609713890230293</c:v>
                </c:pt>
                <c:pt idx="184">
                  <c:v>-0.0812662919119054</c:v>
                </c:pt>
                <c:pt idx="185">
                  <c:v>-0.101536440301022</c:v>
                </c:pt>
                <c:pt idx="186">
                  <c:v>-0.121775659706816</c:v>
                </c:pt>
                <c:pt idx="187">
                  <c:v>-0.141977785066997</c:v>
                </c:pt>
                <c:pt idx="188">
                  <c:v>-0.162136662618476</c:v>
                </c:pt>
                <c:pt idx="189">
                  <c:v>-0.182246151771869</c:v>
                </c:pt>
                <c:pt idx="190">
                  <c:v>-0.202300126981974</c:v>
                </c:pt>
                <c:pt idx="191">
                  <c:v>-0.222292479613675</c:v>
                </c:pt>
                <c:pt idx="192">
                  <c:v>-0.242217119802689</c:v>
                </c:pt>
                <c:pt idx="193">
                  <c:v>-0.262067978310603</c:v>
                </c:pt>
                <c:pt idx="194">
                  <c:v>-0.281839008373613</c:v>
                </c:pt>
                <c:pt idx="195">
                  <c:v>-0.301524187544436</c:v>
                </c:pt>
                <c:pt idx="196">
                  <c:v>-0.321117519526803</c:v>
                </c:pt>
                <c:pt idx="197">
                  <c:v>-0.340613036001988</c:v>
                </c:pt>
                <c:pt idx="198">
                  <c:v>-0.360004798446814</c:v>
                </c:pt>
                <c:pt idx="199">
                  <c:v>-0.379286899942588</c:v>
                </c:pt>
                <c:pt idx="200">
                  <c:v>-0.398453466974404</c:v>
                </c:pt>
                <c:pt idx="201">
                  <c:v>-0.417498661220275</c:v>
                </c:pt>
                <c:pt idx="202">
                  <c:v>-0.436416681329538</c:v>
                </c:pt>
                <c:pt idx="203">
                  <c:v>-0.455201764690004</c:v>
                </c:pt>
                <c:pt idx="204">
                  <c:v>-0.473848189183307</c:v>
                </c:pt>
                <c:pt idx="205">
                  <c:v>-0.492350274927915</c:v>
                </c:pt>
                <c:pt idx="206">
                  <c:v>-0.510702386009275</c:v>
                </c:pt>
                <c:pt idx="207">
                  <c:v>-0.528898932196571</c:v>
                </c:pt>
                <c:pt idx="208">
                  <c:v>-0.546934370645562</c:v>
                </c:pt>
                <c:pt idx="209">
                  <c:v>-0.564803207586983</c:v>
                </c:pt>
                <c:pt idx="210">
                  <c:v>-0.5825</c:v>
                </c:pt>
                <c:pt idx="211">
                  <c:v>-0.600019357270213</c:v>
                </c:pt>
                <c:pt idx="212">
                  <c:v>-0.617355942831684</c:v>
                </c:pt>
                <c:pt idx="213">
                  <c:v>-0.634504475792507</c:v>
                </c:pt>
                <c:pt idx="214">
                  <c:v>-0.65145973254342</c:v>
                </c:pt>
                <c:pt idx="215">
                  <c:v>-0.668216548348968</c:v>
                </c:pt>
                <c:pt idx="216">
                  <c:v>-0.684769818920731</c:v>
                </c:pt>
                <c:pt idx="217">
                  <c:v>-0.701114501972136</c:v>
                </c:pt>
                <c:pt idx="218">
                  <c:v>-0.717245618754391</c:v>
                </c:pt>
                <c:pt idx="219">
                  <c:v>-0.73315825557306</c:v>
                </c:pt>
                <c:pt idx="220">
                  <c:v>-0.748847565284818</c:v>
                </c:pt>
                <c:pt idx="221">
                  <c:v>-0.764308768773941</c:v>
                </c:pt>
                <c:pt idx="222">
                  <c:v>-0.77953715640807</c:v>
                </c:pt>
                <c:pt idx="223">
                  <c:v>-0.794528089472811</c:v>
                </c:pt>
                <c:pt idx="224">
                  <c:v>-0.809277001584732</c:v>
                </c:pt>
                <c:pt idx="225">
                  <c:v>-0.823779400082328</c:v>
                </c:pt>
                <c:pt idx="226">
                  <c:v>-0.838030867394528</c:v>
                </c:pt>
                <c:pt idx="227">
                  <c:v>-0.852027062386334</c:v>
                </c:pt>
                <c:pt idx="228">
                  <c:v>-0.865763721681164</c:v>
                </c:pt>
                <c:pt idx="229">
                  <c:v>-0.879236660959529</c:v>
                </c:pt>
                <c:pt idx="230">
                  <c:v>-0.892441776233609</c:v>
                </c:pt>
                <c:pt idx="231">
                  <c:v>-0.905375045097371</c:v>
                </c:pt>
                <c:pt idx="232">
                  <c:v>-0.918032527951831</c:v>
                </c:pt>
                <c:pt idx="233">
                  <c:v>-0.930410369205096</c:v>
                </c:pt>
                <c:pt idx="234">
                  <c:v>-0.942504798446814</c:v>
                </c:pt>
                <c:pt idx="235">
                  <c:v>-0.954312131596675</c:v>
                </c:pt>
                <c:pt idx="236">
                  <c:v>-0.965828772026623</c:v>
                </c:pt>
                <c:pt idx="237">
                  <c:v>-0.977051211656419</c:v>
                </c:pt>
                <c:pt idx="238">
                  <c:v>-0.987976032022236</c:v>
                </c:pt>
                <c:pt idx="239">
                  <c:v>-0.998599905317961</c:v>
                </c:pt>
                <c:pt idx="240">
                  <c:v>-1.00891959540887</c:v>
                </c:pt>
                <c:pt idx="241">
                  <c:v>-1.0189319588174</c:v>
                </c:pt>
                <c:pt idx="242">
                  <c:v>-1.02863394568065</c:v>
                </c:pt>
                <c:pt idx="243">
                  <c:v>-1.03802260067945</c:v>
                </c:pt>
                <c:pt idx="244">
                  <c:v>-1.04709506393853</c:v>
                </c:pt>
                <c:pt idx="245">
                  <c:v>-1.0558485718977</c:v>
                </c:pt>
                <c:pt idx="246">
                  <c:v>-1.06428045815363</c:v>
                </c:pt>
                <c:pt idx="247">
                  <c:v>-1.07238815427209</c:v>
                </c:pt>
                <c:pt idx="248">
                  <c:v>-1.08016919057031</c:v>
                </c:pt>
                <c:pt idx="249">
                  <c:v>-1.08762119686924</c:v>
                </c:pt>
                <c:pt idx="250">
                  <c:v>-1.09474190321558</c:v>
                </c:pt>
                <c:pt idx="251">
                  <c:v>-1.1015291405732</c:v>
                </c:pt>
                <c:pt idx="252">
                  <c:v>-1.10798084148385</c:v>
                </c:pt>
                <c:pt idx="253">
                  <c:v>-1.11409504069694</c:v>
                </c:pt>
                <c:pt idx="254">
                  <c:v>-1.11986987576814</c:v>
                </c:pt>
                <c:pt idx="255">
                  <c:v>-1.12530358762676</c:v>
                </c:pt>
                <c:pt idx="256">
                  <c:v>-1.13039452111154</c:v>
                </c:pt>
                <c:pt idx="257">
                  <c:v>-1.1351411254748</c:v>
                </c:pt>
                <c:pt idx="258">
                  <c:v>-1.13954195485488</c:v>
                </c:pt>
                <c:pt idx="259">
                  <c:v>-1.14359566871653</c:v>
                </c:pt>
                <c:pt idx="260">
                  <c:v>-1.14730103225922</c:v>
                </c:pt>
                <c:pt idx="261">
                  <c:v>-1.15065691679334</c:v>
                </c:pt>
                <c:pt idx="262">
                  <c:v>-1.15366230008393</c:v>
                </c:pt>
                <c:pt idx="263">
                  <c:v>-1.15631626666214</c:v>
                </c:pt>
                <c:pt idx="264">
                  <c:v>-1.15861800810404</c:v>
                </c:pt>
                <c:pt idx="265">
                  <c:v>-1.16056682327688</c:v>
                </c:pt>
                <c:pt idx="266">
                  <c:v>-1.1621621185527</c:v>
                </c:pt>
                <c:pt idx="267">
                  <c:v>-1.16340340798908</c:v>
                </c:pt>
                <c:pt idx="268">
                  <c:v>-1.16429031347725</c:v>
                </c:pt>
                <c:pt idx="269">
                  <c:v>-1.1648225648572</c:v>
                </c:pt>
                <c:pt idx="270">
                  <c:v>-1.165</c:v>
                </c:pt>
                <c:pt idx="271">
                  <c:v>-1.1648225648572</c:v>
                </c:pt>
                <c:pt idx="272">
                  <c:v>-1.16429031347725</c:v>
                </c:pt>
                <c:pt idx="273">
                  <c:v>-1.16340340798908</c:v>
                </c:pt>
                <c:pt idx="274">
                  <c:v>-1.1621621185527</c:v>
                </c:pt>
                <c:pt idx="275">
                  <c:v>-1.16056682327688</c:v>
                </c:pt>
                <c:pt idx="276">
                  <c:v>-1.15861800810404</c:v>
                </c:pt>
                <c:pt idx="277">
                  <c:v>-1.15631626666214</c:v>
                </c:pt>
                <c:pt idx="278">
                  <c:v>-1.15366230008393</c:v>
                </c:pt>
                <c:pt idx="279">
                  <c:v>-1.15065691679334</c:v>
                </c:pt>
                <c:pt idx="280">
                  <c:v>-1.14730103225922</c:v>
                </c:pt>
                <c:pt idx="281">
                  <c:v>-1.14359566871653</c:v>
                </c:pt>
                <c:pt idx="282">
                  <c:v>-1.13954195485488</c:v>
                </c:pt>
                <c:pt idx="283">
                  <c:v>-1.1351411254748</c:v>
                </c:pt>
                <c:pt idx="284">
                  <c:v>-1.13039452111154</c:v>
                </c:pt>
                <c:pt idx="285">
                  <c:v>-1.12530358762676</c:v>
                </c:pt>
                <c:pt idx="286">
                  <c:v>-1.11986987576814</c:v>
                </c:pt>
                <c:pt idx="287">
                  <c:v>-1.11409504069694</c:v>
                </c:pt>
                <c:pt idx="288">
                  <c:v>-1.10798084148385</c:v>
                </c:pt>
                <c:pt idx="289">
                  <c:v>-1.1015291405732</c:v>
                </c:pt>
                <c:pt idx="290">
                  <c:v>-1.09474190321558</c:v>
                </c:pt>
                <c:pt idx="291">
                  <c:v>-1.08762119686924</c:v>
                </c:pt>
                <c:pt idx="292">
                  <c:v>-1.08016919057031</c:v>
                </c:pt>
                <c:pt idx="293">
                  <c:v>-1.07238815427209</c:v>
                </c:pt>
                <c:pt idx="294">
                  <c:v>-1.06428045815363</c:v>
                </c:pt>
                <c:pt idx="295">
                  <c:v>-1.0558485718977</c:v>
                </c:pt>
                <c:pt idx="296">
                  <c:v>-1.04709506393853</c:v>
                </c:pt>
                <c:pt idx="297">
                  <c:v>-1.03802260067945</c:v>
                </c:pt>
                <c:pt idx="298">
                  <c:v>-1.02863394568065</c:v>
                </c:pt>
                <c:pt idx="299">
                  <c:v>-1.0189319588174</c:v>
                </c:pt>
                <c:pt idx="300">
                  <c:v>-1.00891959540887</c:v>
                </c:pt>
                <c:pt idx="301">
                  <c:v>-0.998599905317961</c:v>
                </c:pt>
                <c:pt idx="302">
                  <c:v>-0.987976032022237</c:v>
                </c:pt>
                <c:pt idx="303">
                  <c:v>-0.977051211656419</c:v>
                </c:pt>
                <c:pt idx="304">
                  <c:v>-0.965828772026624</c:v>
                </c:pt>
                <c:pt idx="305">
                  <c:v>-0.954312131596676</c:v>
                </c:pt>
                <c:pt idx="306">
                  <c:v>-0.942504798446814</c:v>
                </c:pt>
                <c:pt idx="307">
                  <c:v>-0.930410369205097</c:v>
                </c:pt>
                <c:pt idx="308">
                  <c:v>-0.918032527951832</c:v>
                </c:pt>
                <c:pt idx="309">
                  <c:v>-0.905375045097372</c:v>
                </c:pt>
                <c:pt idx="310">
                  <c:v>-0.89244177623361</c:v>
                </c:pt>
                <c:pt idx="311">
                  <c:v>-0.87923666095953</c:v>
                </c:pt>
                <c:pt idx="312">
                  <c:v>-0.865763721681164</c:v>
                </c:pt>
                <c:pt idx="313">
                  <c:v>-0.852027062386334</c:v>
                </c:pt>
                <c:pt idx="314">
                  <c:v>-0.838030867394529</c:v>
                </c:pt>
                <c:pt idx="315">
                  <c:v>-0.823779400082328</c:v>
                </c:pt>
                <c:pt idx="316">
                  <c:v>-0.809277001584732</c:v>
                </c:pt>
                <c:pt idx="317">
                  <c:v>-0.794528089472811</c:v>
                </c:pt>
                <c:pt idx="318">
                  <c:v>-0.779537156408071</c:v>
                </c:pt>
                <c:pt idx="319">
                  <c:v>-0.764308768773941</c:v>
                </c:pt>
                <c:pt idx="320">
                  <c:v>-0.748847565284819</c:v>
                </c:pt>
                <c:pt idx="321">
                  <c:v>-0.73315825557306</c:v>
                </c:pt>
                <c:pt idx="322">
                  <c:v>-0.717245618754392</c:v>
                </c:pt>
                <c:pt idx="323">
                  <c:v>-0.701114501972136</c:v>
                </c:pt>
                <c:pt idx="324">
                  <c:v>-0.684769818920732</c:v>
                </c:pt>
                <c:pt idx="325">
                  <c:v>-0.668216548348969</c:v>
                </c:pt>
                <c:pt idx="326">
                  <c:v>-0.651459732543421</c:v>
                </c:pt>
                <c:pt idx="327">
                  <c:v>-0.634504475792507</c:v>
                </c:pt>
                <c:pt idx="328">
                  <c:v>-0.617355942831684</c:v>
                </c:pt>
                <c:pt idx="329">
                  <c:v>-0.600019357270214</c:v>
                </c:pt>
                <c:pt idx="330">
                  <c:v>-0.582500000000001</c:v>
                </c:pt>
                <c:pt idx="331">
                  <c:v>-0.564803207586983</c:v>
                </c:pt>
                <c:pt idx="332">
                  <c:v>-0.546934370645563</c:v>
                </c:pt>
                <c:pt idx="333">
                  <c:v>-0.528898932196572</c:v>
                </c:pt>
                <c:pt idx="334">
                  <c:v>-0.510702386009276</c:v>
                </c:pt>
                <c:pt idx="335">
                  <c:v>-0.492350274927915</c:v>
                </c:pt>
                <c:pt idx="336">
                  <c:v>-0.473848189183307</c:v>
                </c:pt>
                <c:pt idx="337">
                  <c:v>-0.455201764690004</c:v>
                </c:pt>
                <c:pt idx="338">
                  <c:v>-0.436416681329538</c:v>
                </c:pt>
                <c:pt idx="339">
                  <c:v>-0.417498661220275</c:v>
                </c:pt>
                <c:pt idx="340">
                  <c:v>-0.398453466974405</c:v>
                </c:pt>
                <c:pt idx="341">
                  <c:v>-0.379286899942588</c:v>
                </c:pt>
                <c:pt idx="342">
                  <c:v>-0.360004798446814</c:v>
                </c:pt>
                <c:pt idx="343">
                  <c:v>-0.340613036001989</c:v>
                </c:pt>
                <c:pt idx="344">
                  <c:v>-0.321117519526804</c:v>
                </c:pt>
                <c:pt idx="345">
                  <c:v>-0.301524187544437</c:v>
                </c:pt>
                <c:pt idx="346">
                  <c:v>-0.281839008373613</c:v>
                </c:pt>
                <c:pt idx="347">
                  <c:v>-0.262067978310603</c:v>
                </c:pt>
                <c:pt idx="348">
                  <c:v>-0.24221711980269</c:v>
                </c:pt>
                <c:pt idx="349">
                  <c:v>-0.222292479613675</c:v>
                </c:pt>
                <c:pt idx="350">
                  <c:v>-0.202300126981974</c:v>
                </c:pt>
                <c:pt idx="351">
                  <c:v>-0.182246151771869</c:v>
                </c:pt>
                <c:pt idx="352">
                  <c:v>-0.162136662618477</c:v>
                </c:pt>
                <c:pt idx="353">
                  <c:v>-0.141977785066998</c:v>
                </c:pt>
                <c:pt idx="354">
                  <c:v>-0.121775659706817</c:v>
                </c:pt>
                <c:pt idx="355">
                  <c:v>-0.101536440301022</c:v>
                </c:pt>
                <c:pt idx="356">
                  <c:v>-0.0812662919119064</c:v>
                </c:pt>
                <c:pt idx="357">
                  <c:v>-0.0609713890230292</c:v>
                </c:pt>
                <c:pt idx="358">
                  <c:v>-0.0406579136584135</c:v>
                </c:pt>
                <c:pt idx="359">
                  <c:v>-0.0203320534994354</c:v>
                </c:pt>
                <c:pt idx="360">
                  <c:v>-2.85342704201333E-016</c:v>
                </c:pt>
              </c:numCache>
            </c:numRef>
          </c:yVal>
          <c:smooth val="1"/>
        </c:ser>
        <c:axId val="25640636"/>
        <c:axId val="5217284"/>
      </c:scatterChart>
      <c:valAx>
        <c:axId val="2564063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Tool Path — XY Plane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17284"/>
        <c:crosses val="autoZero"/>
        <c:crossBetween val="midCat"/>
      </c:valAx>
      <c:valAx>
        <c:axId val="52172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64063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Z Profile vs C Angle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d62728"/>
            </a:solidFill>
            <a:ln w="15120">
              <a:solidFill>
                <a:srgbClr val="d62728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Data!$A$2:$A$362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xVal>
          <c:yVal>
            <c:numRef>
              <c:f>Data!$F$2:$F$362</c:f>
              <c:numCache>
                <c:formatCode>General</c:formatCode>
                <c:ptCount val="361"/>
                <c:pt idx="0">
                  <c:v>-0</c:v>
                </c:pt>
                <c:pt idx="1">
                  <c:v>-3.97723668797299E-005</c:v>
                </c:pt>
                <c:pt idx="2">
                  <c:v>-0.000159042836028185</c:v>
                </c:pt>
                <c:pt idx="3">
                  <c:v>-0.000357671561318559</c:v>
                </c:pt>
                <c:pt idx="4">
                  <c:v>-0.000635425626980894</c:v>
                </c:pt>
                <c:pt idx="5">
                  <c:v>-0.000991979289196938</c:v>
                </c:pt>
                <c:pt idx="6">
                  <c:v>-0.00142691431417059</c:v>
                </c:pt>
                <c:pt idx="7">
                  <c:v>-0.00193972041252736</c:v>
                </c:pt>
                <c:pt idx="8">
                  <c:v>-0.00252979576983803</c:v>
                </c:pt>
                <c:pt idx="9">
                  <c:v>-0.00319644767302133</c:v>
                </c:pt>
                <c:pt idx="10">
                  <c:v>-0.00393889323232837</c:v>
                </c:pt>
                <c:pt idx="11">
                  <c:v>-0.00475626019856397</c:v>
                </c:pt>
                <c:pt idx="12">
                  <c:v>-0.0056475878751506</c:v>
                </c:pt>
                <c:pt idx="13">
                  <c:v>-0.00661182812458684</c:v>
                </c:pt>
                <c:pt idx="14">
                  <c:v>-0.00764784646879297</c:v>
                </c:pt>
                <c:pt idx="15">
                  <c:v>-0.00875442328279286</c:v>
                </c:pt>
                <c:pt idx="16">
                  <c:v>-0.00993025508110656</c:v>
                </c:pt>
                <c:pt idx="17">
                  <c:v>-0.0111739558961769</c:v>
                </c:pt>
                <c:pt idx="18">
                  <c:v>-0.0124840587480811</c:v>
                </c:pt>
                <c:pt idx="19">
                  <c:v>-0.0138590172047278</c:v>
                </c:pt>
                <c:pt idx="20">
                  <c:v>-0.0152972070316422</c:v>
                </c:pt>
                <c:pt idx="21">
                  <c:v>-0.0167969279304043</c:v>
                </c:pt>
                <c:pt idx="22">
                  <c:v>-0.0183564053646911</c:v>
                </c:pt>
                <c:pt idx="23">
                  <c:v>-0.0199737924728347</c:v>
                </c:pt>
                <c:pt idx="24">
                  <c:v>-0.021647172065686</c:v>
                </c:pt>
                <c:pt idx="25">
                  <c:v>-0.0233745587085255</c:v>
                </c:pt>
                <c:pt idx="26">
                  <c:v>-0.0251539008856387</c:v>
                </c:pt>
                <c:pt idx="27">
                  <c:v>-0.026983083246117</c:v>
                </c:pt>
                <c:pt idx="28">
                  <c:v>-0.0288599289293111</c:v>
                </c:pt>
                <c:pt idx="29">
                  <c:v>-0.0307822019683051</c:v>
                </c:pt>
                <c:pt idx="30">
                  <c:v>-0.0327476097696386</c:v>
                </c:pt>
                <c:pt idx="31">
                  <c:v>-0.0347538056674357</c:v>
                </c:pt>
                <c:pt idx="32">
                  <c:v>-0.0367983915499578</c:v>
                </c:pt>
                <c:pt idx="33">
                  <c:v>-0.0388789205565098</c:v>
                </c:pt>
                <c:pt idx="34">
                  <c:v>-0.0409928998425095</c:v>
                </c:pt>
                <c:pt idx="35">
                  <c:v>-0.0431377934104029</c:v>
                </c:pt>
                <c:pt idx="36">
                  <c:v>-0.0453110250040064</c:v>
                </c:pt>
                <c:pt idx="37">
                  <c:v>-0.0475099810637207</c:v>
                </c:pt>
                <c:pt idx="38">
                  <c:v>-0.049732013739946</c:v>
                </c:pt>
                <c:pt idx="39">
                  <c:v>-0.051974443961909</c:v>
                </c:pt>
                <c:pt idx="40">
                  <c:v>-0.054234564558967</c:v>
                </c:pt>
                <c:pt idx="41">
                  <c:v>-0.0565096434313526</c:v>
                </c:pt>
                <c:pt idx="42">
                  <c:v>-0.0587969267671778</c:v>
                </c:pt>
                <c:pt idx="43">
                  <c:v>-0.0610936423023944</c:v>
                </c:pt>
                <c:pt idx="44">
                  <c:v>-0.0633970026202821</c:v>
                </c:pt>
                <c:pt idx="45">
                  <c:v>-0.065704208486905</c:v>
                </c:pt>
                <c:pt idx="46">
                  <c:v>-0.0680124522188619</c:v>
                </c:pt>
                <c:pt idx="47">
                  <c:v>-0.0703189210795145</c:v>
                </c:pt>
                <c:pt idx="48">
                  <c:v>-0.0726208006997784</c:v>
                </c:pt>
                <c:pt idx="49">
                  <c:v>-0.074915278519425</c:v>
                </c:pt>
                <c:pt idx="50">
                  <c:v>-0.0771995472447364</c:v>
                </c:pt>
                <c:pt idx="51">
                  <c:v>-0.0794708083182435</c:v>
                </c:pt>
                <c:pt idx="52">
                  <c:v>-0.0817262753961668</c:v>
                </c:pt>
                <c:pt idx="53">
                  <c:v>-0.0839631778290863</c:v>
                </c:pt>
                <c:pt idx="54">
                  <c:v>-0.0861787641412527</c:v>
                </c:pt>
                <c:pt idx="55">
                  <c:v>-0.088370305503891</c:v>
                </c:pt>
                <c:pt idx="56">
                  <c:v>-0.0905350991977294</c:v>
                </c:pt>
                <c:pt idx="57">
                  <c:v>-0.0926704720599472</c:v>
                </c:pt>
                <c:pt idx="58">
                  <c:v>-0.0947737839106353</c:v>
                </c:pt>
                <c:pt idx="59">
                  <c:v>-0.096842430953828</c:v>
                </c:pt>
                <c:pt idx="60">
                  <c:v>-0.0988738491481011</c:v>
                </c:pt>
                <c:pt idx="61">
                  <c:v>-0.100865517541698</c:v>
                </c:pt>
                <c:pt idx="62">
                  <c:v>-0.102814961567114</c:v>
                </c:pt>
                <c:pt idx="63">
                  <c:v>-0.104719756290049</c:v>
                </c:pt>
                <c:pt idx="64">
                  <c:v>-0.106577529607629</c:v>
                </c:pt>
                <c:pt idx="65">
                  <c:v>-0.108385965390812</c:v>
                </c:pt>
                <c:pt idx="66">
                  <c:v>-0.110142806565895</c:v>
                </c:pt>
                <c:pt idx="67">
                  <c:v>-0.111845858130071</c:v>
                </c:pt>
                <c:pt idx="68">
                  <c:v>-0.113492990096041</c:v>
                </c:pt>
                <c:pt idx="69">
                  <c:v>-0.115082140360716</c:v>
                </c:pt>
                <c:pt idx="70">
                  <c:v>-0.116611317493127</c:v>
                </c:pt>
                <c:pt idx="71">
                  <c:v>-0.118078603436744</c:v>
                </c:pt>
                <c:pt idx="72">
                  <c:v>-0.119482156121484</c:v>
                </c:pt>
                <c:pt idx="73">
                  <c:v>-0.120820211980815</c:v>
                </c:pt>
                <c:pt idx="74">
                  <c:v>-0.122091088369462</c:v>
                </c:pt>
                <c:pt idx="75">
                  <c:v>-0.123293185877378</c:v>
                </c:pt>
                <c:pt idx="76">
                  <c:v>-0.124424990535771</c:v>
                </c:pt>
                <c:pt idx="77">
                  <c:v>-0.125485075911163</c:v>
                </c:pt>
                <c:pt idx="78">
                  <c:v>-0.126472105083583</c:v>
                </c:pt>
                <c:pt idx="79">
                  <c:v>-0.127384832505253</c:v>
                </c:pt>
                <c:pt idx="80">
                  <c:v>-0.128222105736244</c:v>
                </c:pt>
                <c:pt idx="81">
                  <c:v>-0.128982867053856</c:v>
                </c:pt>
                <c:pt idx="82">
                  <c:v>-0.129666154932649</c:v>
                </c:pt>
                <c:pt idx="83">
                  <c:v>-0.130271105392303</c:v>
                </c:pt>
                <c:pt idx="84">
                  <c:v>-0.130796953210716</c:v>
                </c:pt>
                <c:pt idx="85">
                  <c:v>-0.131243033000004</c:v>
                </c:pt>
                <c:pt idx="86">
                  <c:v>-0.131608780143323</c:v>
                </c:pt>
                <c:pt idx="87">
                  <c:v>-0.131893731590679</c:v>
                </c:pt>
                <c:pt idx="88">
                  <c:v>-0.132097526512178</c:v>
                </c:pt>
                <c:pt idx="89">
                  <c:v>-0.132219906807453</c:v>
                </c:pt>
                <c:pt idx="90">
                  <c:v>-0.132260717470247</c:v>
                </c:pt>
                <c:pt idx="91">
                  <c:v>-0.132219906807453</c:v>
                </c:pt>
                <c:pt idx="92">
                  <c:v>-0.132097526512178</c:v>
                </c:pt>
                <c:pt idx="93">
                  <c:v>-0.131893731590679</c:v>
                </c:pt>
                <c:pt idx="94">
                  <c:v>-0.131608780143323</c:v>
                </c:pt>
                <c:pt idx="95">
                  <c:v>-0.131243033000004</c:v>
                </c:pt>
                <c:pt idx="96">
                  <c:v>-0.130796953210716</c:v>
                </c:pt>
                <c:pt idx="97">
                  <c:v>-0.130271105392303</c:v>
                </c:pt>
                <c:pt idx="98">
                  <c:v>-0.129666154932649</c:v>
                </c:pt>
                <c:pt idx="99">
                  <c:v>-0.128982867053856</c:v>
                </c:pt>
                <c:pt idx="100">
                  <c:v>-0.128222105736244</c:v>
                </c:pt>
                <c:pt idx="101">
                  <c:v>-0.127384832505253</c:v>
                </c:pt>
                <c:pt idx="102">
                  <c:v>-0.126472105083583</c:v>
                </c:pt>
                <c:pt idx="103">
                  <c:v>-0.125485075911163</c:v>
                </c:pt>
                <c:pt idx="104">
                  <c:v>-0.124424990535771</c:v>
                </c:pt>
                <c:pt idx="105">
                  <c:v>-0.123293185877378</c:v>
                </c:pt>
                <c:pt idx="106">
                  <c:v>-0.122091088369462</c:v>
                </c:pt>
                <c:pt idx="107">
                  <c:v>-0.120820211980815</c:v>
                </c:pt>
                <c:pt idx="108">
                  <c:v>-0.119482156121484</c:v>
                </c:pt>
                <c:pt idx="109">
                  <c:v>-0.118078603436744</c:v>
                </c:pt>
                <c:pt idx="110">
                  <c:v>-0.116611317493127</c:v>
                </c:pt>
                <c:pt idx="111">
                  <c:v>-0.115082140360716</c:v>
                </c:pt>
                <c:pt idx="112">
                  <c:v>-0.113492990096041</c:v>
                </c:pt>
                <c:pt idx="113">
                  <c:v>-0.111845858130071</c:v>
                </c:pt>
                <c:pt idx="114">
                  <c:v>-0.110142806565895</c:v>
                </c:pt>
                <c:pt idx="115">
                  <c:v>-0.108385965390812</c:v>
                </c:pt>
                <c:pt idx="116">
                  <c:v>-0.106577529607629</c:v>
                </c:pt>
                <c:pt idx="117">
                  <c:v>-0.10471975629005</c:v>
                </c:pt>
                <c:pt idx="118">
                  <c:v>-0.102814961567115</c:v>
                </c:pt>
                <c:pt idx="119">
                  <c:v>-0.100865517541698</c:v>
                </c:pt>
                <c:pt idx="120">
                  <c:v>-0.0988738491481011</c:v>
                </c:pt>
                <c:pt idx="121">
                  <c:v>-0.096842430953828</c:v>
                </c:pt>
                <c:pt idx="122">
                  <c:v>-0.0947737839106353</c:v>
                </c:pt>
                <c:pt idx="123">
                  <c:v>-0.0926704720599472</c:v>
                </c:pt>
                <c:pt idx="124">
                  <c:v>-0.0905350991977294</c:v>
                </c:pt>
                <c:pt idx="125">
                  <c:v>-0.088370305503891</c:v>
                </c:pt>
                <c:pt idx="126">
                  <c:v>-0.0861787641412527</c:v>
                </c:pt>
                <c:pt idx="127">
                  <c:v>-0.0839631778290863</c:v>
                </c:pt>
                <c:pt idx="128">
                  <c:v>-0.0817262753961668</c:v>
                </c:pt>
                <c:pt idx="129">
                  <c:v>-0.0794708083182435</c:v>
                </c:pt>
                <c:pt idx="130">
                  <c:v>-0.0771995472447364</c:v>
                </c:pt>
                <c:pt idx="131">
                  <c:v>-0.074915278519425</c:v>
                </c:pt>
                <c:pt idx="132">
                  <c:v>-0.0726208006997784</c:v>
                </c:pt>
                <c:pt idx="133">
                  <c:v>-0.0703189210795145</c:v>
                </c:pt>
                <c:pt idx="134">
                  <c:v>-0.0680124522188619</c:v>
                </c:pt>
                <c:pt idx="135">
                  <c:v>-0.065704208486905</c:v>
                </c:pt>
                <c:pt idx="136">
                  <c:v>-0.0633970026202821</c:v>
                </c:pt>
                <c:pt idx="137">
                  <c:v>-0.0610936423023944</c:v>
                </c:pt>
                <c:pt idx="138">
                  <c:v>-0.0587969267671778</c:v>
                </c:pt>
                <c:pt idx="139">
                  <c:v>-0.0565096434313526</c:v>
                </c:pt>
                <c:pt idx="140">
                  <c:v>-0.054234564558967</c:v>
                </c:pt>
                <c:pt idx="141">
                  <c:v>-0.051974443961909</c:v>
                </c:pt>
                <c:pt idx="142">
                  <c:v>-0.049732013739946</c:v>
                </c:pt>
                <c:pt idx="143">
                  <c:v>-0.0475099810637207</c:v>
                </c:pt>
                <c:pt idx="144">
                  <c:v>-0.0453110250040064</c:v>
                </c:pt>
                <c:pt idx="145">
                  <c:v>-0.0431377934104029</c:v>
                </c:pt>
                <c:pt idx="146">
                  <c:v>-0.0409928998425095</c:v>
                </c:pt>
                <c:pt idx="147">
                  <c:v>-0.0388789205565098</c:v>
                </c:pt>
                <c:pt idx="148">
                  <c:v>-0.0367983915499578</c:v>
                </c:pt>
                <c:pt idx="149">
                  <c:v>-0.0347538056674357</c:v>
                </c:pt>
                <c:pt idx="150">
                  <c:v>-0.0327476097696386</c:v>
                </c:pt>
                <c:pt idx="151">
                  <c:v>-0.0307822019683051</c:v>
                </c:pt>
                <c:pt idx="152">
                  <c:v>-0.0288599289293111</c:v>
                </c:pt>
                <c:pt idx="153">
                  <c:v>-0.026983083246117</c:v>
                </c:pt>
                <c:pt idx="154">
                  <c:v>-0.0251539008856387</c:v>
                </c:pt>
                <c:pt idx="155">
                  <c:v>-0.0233745587085255</c:v>
                </c:pt>
                <c:pt idx="156">
                  <c:v>-0.021647172065686</c:v>
                </c:pt>
                <c:pt idx="157">
                  <c:v>-0.0199737924728347</c:v>
                </c:pt>
                <c:pt idx="158">
                  <c:v>-0.0183564053646911</c:v>
                </c:pt>
                <c:pt idx="159">
                  <c:v>-0.0167969279304043</c:v>
                </c:pt>
                <c:pt idx="160">
                  <c:v>-0.0152972070316422</c:v>
                </c:pt>
                <c:pt idx="161">
                  <c:v>-0.0138590172047278</c:v>
                </c:pt>
                <c:pt idx="162">
                  <c:v>-0.0124840587480811</c:v>
                </c:pt>
                <c:pt idx="163">
                  <c:v>-0.0111739558961769</c:v>
                </c:pt>
                <c:pt idx="164">
                  <c:v>-0.00993025508110656</c:v>
                </c:pt>
                <c:pt idx="165">
                  <c:v>-0.00875442328279286</c:v>
                </c:pt>
                <c:pt idx="166">
                  <c:v>-0.00764784646879297</c:v>
                </c:pt>
                <c:pt idx="167">
                  <c:v>-0.00661182812458684</c:v>
                </c:pt>
                <c:pt idx="168">
                  <c:v>-0.0056475878751506</c:v>
                </c:pt>
                <c:pt idx="169">
                  <c:v>-0.00475626019856397</c:v>
                </c:pt>
                <c:pt idx="170">
                  <c:v>-0.00393889323232837</c:v>
                </c:pt>
                <c:pt idx="171">
                  <c:v>-0.00319644767302133</c:v>
                </c:pt>
                <c:pt idx="172">
                  <c:v>-0.00252979576983803</c:v>
                </c:pt>
                <c:pt idx="173">
                  <c:v>-0.00193972041252736</c:v>
                </c:pt>
                <c:pt idx="174">
                  <c:v>-0.00142691431417059</c:v>
                </c:pt>
                <c:pt idx="175">
                  <c:v>-0.000991979289196938</c:v>
                </c:pt>
                <c:pt idx="176">
                  <c:v>-0.000635425626980894</c:v>
                </c:pt>
                <c:pt idx="177">
                  <c:v>-0.000357671561318559</c:v>
                </c:pt>
                <c:pt idx="178">
                  <c:v>-0.000159042836028185</c:v>
                </c:pt>
                <c:pt idx="179">
                  <c:v>-3.97723668797299E-005</c:v>
                </c:pt>
                <c:pt idx="180">
                  <c:v>-0</c:v>
                </c:pt>
                <c:pt idx="181">
                  <c:v>-3.97723668797299E-005</c:v>
                </c:pt>
                <c:pt idx="182">
                  <c:v>-0.000159042836028185</c:v>
                </c:pt>
                <c:pt idx="183">
                  <c:v>-0.000357671561318559</c:v>
                </c:pt>
                <c:pt idx="184">
                  <c:v>-0.000635425626980894</c:v>
                </c:pt>
                <c:pt idx="185">
                  <c:v>-0.000991979289196938</c:v>
                </c:pt>
                <c:pt idx="186">
                  <c:v>-0.00142691431417059</c:v>
                </c:pt>
                <c:pt idx="187">
                  <c:v>-0.00193972041252736</c:v>
                </c:pt>
                <c:pt idx="188">
                  <c:v>-0.00252979576983803</c:v>
                </c:pt>
                <c:pt idx="189">
                  <c:v>-0.00319644767302133</c:v>
                </c:pt>
                <c:pt idx="190">
                  <c:v>-0.00393889323232837</c:v>
                </c:pt>
                <c:pt idx="191">
                  <c:v>-0.00475626019856397</c:v>
                </c:pt>
                <c:pt idx="192">
                  <c:v>-0.0056475878751506</c:v>
                </c:pt>
                <c:pt idx="193">
                  <c:v>-0.00661182812458684</c:v>
                </c:pt>
                <c:pt idx="194">
                  <c:v>-0.00764784646879297</c:v>
                </c:pt>
                <c:pt idx="195">
                  <c:v>-0.00875442328279286</c:v>
                </c:pt>
                <c:pt idx="196">
                  <c:v>-0.00993025508110656</c:v>
                </c:pt>
                <c:pt idx="197">
                  <c:v>-0.0111739558961769</c:v>
                </c:pt>
                <c:pt idx="198">
                  <c:v>-0.0124840587480811</c:v>
                </c:pt>
                <c:pt idx="199">
                  <c:v>-0.0138590172047278</c:v>
                </c:pt>
                <c:pt idx="200">
                  <c:v>-0.0152972070316422</c:v>
                </c:pt>
                <c:pt idx="201">
                  <c:v>-0.0167969279304043</c:v>
                </c:pt>
                <c:pt idx="202">
                  <c:v>-0.0183564053646911</c:v>
                </c:pt>
                <c:pt idx="203">
                  <c:v>-0.0199737924728347</c:v>
                </c:pt>
                <c:pt idx="204">
                  <c:v>-0.021647172065686</c:v>
                </c:pt>
                <c:pt idx="205">
                  <c:v>-0.0233745587085255</c:v>
                </c:pt>
                <c:pt idx="206">
                  <c:v>-0.0251539008856387</c:v>
                </c:pt>
                <c:pt idx="207">
                  <c:v>-0.026983083246117</c:v>
                </c:pt>
                <c:pt idx="208">
                  <c:v>-0.0288599289293111</c:v>
                </c:pt>
                <c:pt idx="209">
                  <c:v>-0.0307822019683051</c:v>
                </c:pt>
                <c:pt idx="210">
                  <c:v>-0.0327476097696386</c:v>
                </c:pt>
                <c:pt idx="211">
                  <c:v>-0.0347538056674357</c:v>
                </c:pt>
                <c:pt idx="212">
                  <c:v>-0.0367983915499578</c:v>
                </c:pt>
                <c:pt idx="213">
                  <c:v>-0.0388789205565098</c:v>
                </c:pt>
                <c:pt idx="214">
                  <c:v>-0.0409928998425095</c:v>
                </c:pt>
                <c:pt idx="215">
                  <c:v>-0.0431377934104029</c:v>
                </c:pt>
                <c:pt idx="216">
                  <c:v>-0.0453110250040064</c:v>
                </c:pt>
                <c:pt idx="217">
                  <c:v>-0.0475099810637207</c:v>
                </c:pt>
                <c:pt idx="218">
                  <c:v>-0.049732013739946</c:v>
                </c:pt>
                <c:pt idx="219">
                  <c:v>-0.051974443961909</c:v>
                </c:pt>
                <c:pt idx="220">
                  <c:v>-0.054234564558967</c:v>
                </c:pt>
                <c:pt idx="221">
                  <c:v>-0.0565096434313526</c:v>
                </c:pt>
                <c:pt idx="222">
                  <c:v>-0.0587969267671778</c:v>
                </c:pt>
                <c:pt idx="223">
                  <c:v>-0.0610936423023944</c:v>
                </c:pt>
                <c:pt idx="224">
                  <c:v>-0.0633970026202821</c:v>
                </c:pt>
                <c:pt idx="225">
                  <c:v>-0.065704208486905</c:v>
                </c:pt>
                <c:pt idx="226">
                  <c:v>-0.0680124522188619</c:v>
                </c:pt>
                <c:pt idx="227">
                  <c:v>-0.0703189210795145</c:v>
                </c:pt>
                <c:pt idx="228">
                  <c:v>-0.0726208006997784</c:v>
                </c:pt>
                <c:pt idx="229">
                  <c:v>-0.074915278519425</c:v>
                </c:pt>
                <c:pt idx="230">
                  <c:v>-0.0771995472447364</c:v>
                </c:pt>
                <c:pt idx="231">
                  <c:v>-0.0794708083182435</c:v>
                </c:pt>
                <c:pt idx="232">
                  <c:v>-0.0817262753961668</c:v>
                </c:pt>
                <c:pt idx="233">
                  <c:v>-0.0839631778290863</c:v>
                </c:pt>
                <c:pt idx="234">
                  <c:v>-0.0861787641412527</c:v>
                </c:pt>
                <c:pt idx="235">
                  <c:v>-0.088370305503891</c:v>
                </c:pt>
                <c:pt idx="236">
                  <c:v>-0.0905350991977294</c:v>
                </c:pt>
                <c:pt idx="237">
                  <c:v>-0.0926704720599472</c:v>
                </c:pt>
                <c:pt idx="238">
                  <c:v>-0.0947737839106353</c:v>
                </c:pt>
                <c:pt idx="239">
                  <c:v>-0.096842430953828</c:v>
                </c:pt>
                <c:pt idx="240">
                  <c:v>-0.0988738491481011</c:v>
                </c:pt>
                <c:pt idx="241">
                  <c:v>-0.100865517541698</c:v>
                </c:pt>
                <c:pt idx="242">
                  <c:v>-0.102814961567114</c:v>
                </c:pt>
                <c:pt idx="243">
                  <c:v>-0.104719756290049</c:v>
                </c:pt>
                <c:pt idx="244">
                  <c:v>-0.106577529607629</c:v>
                </c:pt>
                <c:pt idx="245">
                  <c:v>-0.108385965390812</c:v>
                </c:pt>
                <c:pt idx="246">
                  <c:v>-0.110142806565895</c:v>
                </c:pt>
                <c:pt idx="247">
                  <c:v>-0.111845858130071</c:v>
                </c:pt>
                <c:pt idx="248">
                  <c:v>-0.113492990096041</c:v>
                </c:pt>
                <c:pt idx="249">
                  <c:v>-0.115082140360716</c:v>
                </c:pt>
                <c:pt idx="250">
                  <c:v>-0.116611317493127</c:v>
                </c:pt>
                <c:pt idx="251">
                  <c:v>-0.118078603436744</c:v>
                </c:pt>
                <c:pt idx="252">
                  <c:v>-0.119482156121484</c:v>
                </c:pt>
                <c:pt idx="253">
                  <c:v>-0.120820211980815</c:v>
                </c:pt>
                <c:pt idx="254">
                  <c:v>-0.122091088369462</c:v>
                </c:pt>
                <c:pt idx="255">
                  <c:v>-0.123293185877378</c:v>
                </c:pt>
                <c:pt idx="256">
                  <c:v>-0.124424990535771</c:v>
                </c:pt>
                <c:pt idx="257">
                  <c:v>-0.125485075911163</c:v>
                </c:pt>
                <c:pt idx="258">
                  <c:v>-0.126472105083583</c:v>
                </c:pt>
                <c:pt idx="259">
                  <c:v>-0.127384832505253</c:v>
                </c:pt>
                <c:pt idx="260">
                  <c:v>-0.128222105736244</c:v>
                </c:pt>
                <c:pt idx="261">
                  <c:v>-0.128982867053856</c:v>
                </c:pt>
                <c:pt idx="262">
                  <c:v>-0.129666154932649</c:v>
                </c:pt>
                <c:pt idx="263">
                  <c:v>-0.130271105392303</c:v>
                </c:pt>
                <c:pt idx="264">
                  <c:v>-0.130796953210716</c:v>
                </c:pt>
                <c:pt idx="265">
                  <c:v>-0.131243033000004</c:v>
                </c:pt>
                <c:pt idx="266">
                  <c:v>-0.131608780143323</c:v>
                </c:pt>
                <c:pt idx="267">
                  <c:v>-0.131893731590679</c:v>
                </c:pt>
                <c:pt idx="268">
                  <c:v>-0.132097526512178</c:v>
                </c:pt>
                <c:pt idx="269">
                  <c:v>-0.132219906807453</c:v>
                </c:pt>
                <c:pt idx="270">
                  <c:v>-0.132260717470247</c:v>
                </c:pt>
                <c:pt idx="271">
                  <c:v>-0.132219906807453</c:v>
                </c:pt>
                <c:pt idx="272">
                  <c:v>-0.132097526512178</c:v>
                </c:pt>
                <c:pt idx="273">
                  <c:v>-0.131893731590679</c:v>
                </c:pt>
                <c:pt idx="274">
                  <c:v>-0.131608780143323</c:v>
                </c:pt>
                <c:pt idx="275">
                  <c:v>-0.131243033000004</c:v>
                </c:pt>
                <c:pt idx="276">
                  <c:v>-0.130796953210716</c:v>
                </c:pt>
                <c:pt idx="277">
                  <c:v>-0.130271105392303</c:v>
                </c:pt>
                <c:pt idx="278">
                  <c:v>-0.129666154932649</c:v>
                </c:pt>
                <c:pt idx="279">
                  <c:v>-0.128982867053856</c:v>
                </c:pt>
                <c:pt idx="280">
                  <c:v>-0.128222105736244</c:v>
                </c:pt>
                <c:pt idx="281">
                  <c:v>-0.127384832505253</c:v>
                </c:pt>
                <c:pt idx="282">
                  <c:v>-0.126472105083583</c:v>
                </c:pt>
                <c:pt idx="283">
                  <c:v>-0.125485075911163</c:v>
                </c:pt>
                <c:pt idx="284">
                  <c:v>-0.124424990535771</c:v>
                </c:pt>
                <c:pt idx="285">
                  <c:v>-0.123293185877378</c:v>
                </c:pt>
                <c:pt idx="286">
                  <c:v>-0.122091088369462</c:v>
                </c:pt>
                <c:pt idx="287">
                  <c:v>-0.120820211980815</c:v>
                </c:pt>
                <c:pt idx="288">
                  <c:v>-0.119482156121484</c:v>
                </c:pt>
                <c:pt idx="289">
                  <c:v>-0.118078603436744</c:v>
                </c:pt>
                <c:pt idx="290">
                  <c:v>-0.116611317493127</c:v>
                </c:pt>
                <c:pt idx="291">
                  <c:v>-0.115082140360716</c:v>
                </c:pt>
                <c:pt idx="292">
                  <c:v>-0.113492990096041</c:v>
                </c:pt>
                <c:pt idx="293">
                  <c:v>-0.111845858130071</c:v>
                </c:pt>
                <c:pt idx="294">
                  <c:v>-0.110142806565895</c:v>
                </c:pt>
                <c:pt idx="295">
                  <c:v>-0.108385965390812</c:v>
                </c:pt>
                <c:pt idx="296">
                  <c:v>-0.106577529607629</c:v>
                </c:pt>
                <c:pt idx="297">
                  <c:v>-0.10471975629005</c:v>
                </c:pt>
                <c:pt idx="298">
                  <c:v>-0.102814961567115</c:v>
                </c:pt>
                <c:pt idx="299">
                  <c:v>-0.100865517541698</c:v>
                </c:pt>
                <c:pt idx="300">
                  <c:v>-0.0988738491481011</c:v>
                </c:pt>
                <c:pt idx="301">
                  <c:v>-0.096842430953828</c:v>
                </c:pt>
                <c:pt idx="302">
                  <c:v>-0.0947737839106353</c:v>
                </c:pt>
                <c:pt idx="303">
                  <c:v>-0.0926704720599472</c:v>
                </c:pt>
                <c:pt idx="304">
                  <c:v>-0.0905350991977294</c:v>
                </c:pt>
                <c:pt idx="305">
                  <c:v>-0.088370305503891</c:v>
                </c:pt>
                <c:pt idx="306">
                  <c:v>-0.0861787641412527</c:v>
                </c:pt>
                <c:pt idx="307">
                  <c:v>-0.0839631778290863</c:v>
                </c:pt>
                <c:pt idx="308">
                  <c:v>-0.0817262753961674</c:v>
                </c:pt>
                <c:pt idx="309">
                  <c:v>-0.0794708083182435</c:v>
                </c:pt>
                <c:pt idx="310">
                  <c:v>-0.0771995472447364</c:v>
                </c:pt>
                <c:pt idx="311">
                  <c:v>-0.0749152785194256</c:v>
                </c:pt>
                <c:pt idx="312">
                  <c:v>-0.0726208006997784</c:v>
                </c:pt>
                <c:pt idx="313">
                  <c:v>-0.0703189210795145</c:v>
                </c:pt>
                <c:pt idx="314">
                  <c:v>-0.0680124522188619</c:v>
                </c:pt>
                <c:pt idx="315">
                  <c:v>-0.065704208486905</c:v>
                </c:pt>
                <c:pt idx="316">
                  <c:v>-0.0633970026202821</c:v>
                </c:pt>
                <c:pt idx="317">
                  <c:v>-0.0610936423023944</c:v>
                </c:pt>
                <c:pt idx="318">
                  <c:v>-0.0587969267671778</c:v>
                </c:pt>
                <c:pt idx="319">
                  <c:v>-0.0565096434313526</c:v>
                </c:pt>
                <c:pt idx="320">
                  <c:v>-0.054234564558967</c:v>
                </c:pt>
                <c:pt idx="321">
                  <c:v>-0.051974443961909</c:v>
                </c:pt>
                <c:pt idx="322">
                  <c:v>-0.049732013739946</c:v>
                </c:pt>
                <c:pt idx="323">
                  <c:v>-0.0475099810637207</c:v>
                </c:pt>
                <c:pt idx="324">
                  <c:v>-0.0453110250040064</c:v>
                </c:pt>
                <c:pt idx="325">
                  <c:v>-0.0431377934104029</c:v>
                </c:pt>
                <c:pt idx="326">
                  <c:v>-0.0409928998425095</c:v>
                </c:pt>
                <c:pt idx="327">
                  <c:v>-0.0388789205565098</c:v>
                </c:pt>
                <c:pt idx="328">
                  <c:v>-0.0367983915499578</c:v>
                </c:pt>
                <c:pt idx="329">
                  <c:v>-0.0347538056674363</c:v>
                </c:pt>
                <c:pt idx="330">
                  <c:v>-0.0327476097696386</c:v>
                </c:pt>
                <c:pt idx="331">
                  <c:v>-0.0307822019683051</c:v>
                </c:pt>
                <c:pt idx="332">
                  <c:v>-0.0288599289293111</c:v>
                </c:pt>
                <c:pt idx="333">
                  <c:v>-0.026983083246117</c:v>
                </c:pt>
                <c:pt idx="334">
                  <c:v>-0.0251539008856387</c:v>
                </c:pt>
                <c:pt idx="335">
                  <c:v>-0.0233745587085255</c:v>
                </c:pt>
                <c:pt idx="336">
                  <c:v>-0.021647172065686</c:v>
                </c:pt>
                <c:pt idx="337">
                  <c:v>-0.0199737924728347</c:v>
                </c:pt>
                <c:pt idx="338">
                  <c:v>-0.0183564053646911</c:v>
                </c:pt>
                <c:pt idx="339">
                  <c:v>-0.0167969279304043</c:v>
                </c:pt>
                <c:pt idx="340">
                  <c:v>-0.0152972070316428</c:v>
                </c:pt>
                <c:pt idx="341">
                  <c:v>-0.0138590172047278</c:v>
                </c:pt>
                <c:pt idx="342">
                  <c:v>-0.0124840587480811</c:v>
                </c:pt>
                <c:pt idx="343">
                  <c:v>-0.0111739558961769</c:v>
                </c:pt>
                <c:pt idx="344">
                  <c:v>-0.00993025508110656</c:v>
                </c:pt>
                <c:pt idx="345">
                  <c:v>-0.00875442328279286</c:v>
                </c:pt>
                <c:pt idx="346">
                  <c:v>-0.00764784646879297</c:v>
                </c:pt>
                <c:pt idx="347">
                  <c:v>-0.00661182812458684</c:v>
                </c:pt>
                <c:pt idx="348">
                  <c:v>-0.00564758787515118</c:v>
                </c:pt>
                <c:pt idx="349">
                  <c:v>-0.00475626019856397</c:v>
                </c:pt>
                <c:pt idx="350">
                  <c:v>-0.00393889323232837</c:v>
                </c:pt>
                <c:pt idx="351">
                  <c:v>-0.00319644767302133</c:v>
                </c:pt>
                <c:pt idx="352">
                  <c:v>-0.00252979576983803</c:v>
                </c:pt>
                <c:pt idx="353">
                  <c:v>-0.00193972041252736</c:v>
                </c:pt>
                <c:pt idx="354">
                  <c:v>-0.00142691431417059</c:v>
                </c:pt>
                <c:pt idx="355">
                  <c:v>-0.000991979289196938</c:v>
                </c:pt>
                <c:pt idx="356">
                  <c:v>-0.000635425626980894</c:v>
                </c:pt>
                <c:pt idx="357">
                  <c:v>-0.000357671561318559</c:v>
                </c:pt>
                <c:pt idx="358">
                  <c:v>-0.000159042836028185</c:v>
                </c:pt>
                <c:pt idx="359">
                  <c:v>-3.97723668797299E-005</c:v>
                </c:pt>
                <c:pt idx="360">
                  <c:v>-0</c:v>
                </c:pt>
              </c:numCache>
            </c:numRef>
          </c:yVal>
          <c:smooth val="1"/>
        </c:ser>
        <c:axId val="13981675"/>
        <c:axId val="79170554"/>
      </c:scatterChart>
      <c:valAx>
        <c:axId val="1398167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Z Profile vs C Angle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170554"/>
        <c:crosses val="autoZero"/>
        <c:crossBetween val="midCat"/>
      </c:valAx>
      <c:valAx>
        <c:axId val="791705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98167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Phi vs C Angle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ff7f0e"/>
            </a:solidFill>
            <a:ln w="15120">
              <a:solidFill>
                <a:srgbClr val="ff7f0e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Data!$A$2:$A$362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xVal>
          <c:yVal>
            <c:numRef>
              <c:f>Data!$C$2:$C$362</c:f>
              <c:numCache>
                <c:formatCode>General</c:formatCode>
                <c:ptCount val="361"/>
                <c:pt idx="0">
                  <c:v>0</c:v>
                </c:pt>
                <c:pt idx="1">
                  <c:v>0.224156980200995</c:v>
                </c:pt>
                <c:pt idx="2">
                  <c:v>0.448249109117967</c:v>
                </c:pt>
                <c:pt idx="3">
                  <c:v>0.672211546293764</c:v>
                </c:pt>
                <c:pt idx="4">
                  <c:v>0.895979472942739</c:v>
                </c:pt>
                <c:pt idx="5">
                  <c:v>1.11948810283088</c:v>
                </c:pt>
                <c:pt idx="6">
                  <c:v>1.34267269320903</c:v>
                </c:pt>
                <c:pt idx="7">
                  <c:v>1.56546855581686</c:v>
                </c:pt>
                <c:pt idx="8">
                  <c:v>1.7878110679747</c:v>
                </c:pt>
                <c:pt idx="9">
                  <c:v>2.00963568378074</c:v>
                </c:pt>
                <c:pt idx="10">
                  <c:v>2.23087794543018</c:v>
                </c:pt>
                <c:pt idx="11">
                  <c:v>2.45147349467327</c:v>
                </c:pt>
                <c:pt idx="12">
                  <c:v>2.67135808442831</c:v>
                </c:pt>
                <c:pt idx="13">
                  <c:v>2.8904675905658</c:v>
                </c:pt>
                <c:pt idx="14">
                  <c:v>3.10873802387914</c:v>
                </c:pt>
                <c:pt idx="15">
                  <c:v>3.32610554225705</c:v>
                </c:pt>
                <c:pt idx="16">
                  <c:v>3.54250646307235</c:v>
                </c:pt>
                <c:pt idx="17">
                  <c:v>3.75787727580123</c:v>
                </c:pt>
                <c:pt idx="18">
                  <c:v>3.97215465488641</c:v>
                </c:pt>
                <c:pt idx="19">
                  <c:v>4.18527547285736</c:v>
                </c:pt>
                <c:pt idx="20">
                  <c:v>4.3971768137195</c:v>
                </c:pt>
                <c:pt idx="21">
                  <c:v>4.60779598662431</c:v>
                </c:pt>
                <c:pt idx="22">
                  <c:v>4.81707053983092</c:v>
                </c:pt>
                <c:pt idx="23">
                  <c:v>5.02493827496937</c:v>
                </c:pt>
                <c:pt idx="24">
                  <c:v>5.23133726161461</c:v>
                </c:pt>
                <c:pt idx="25">
                  <c:v>5.43620585217989</c:v>
                </c:pt>
                <c:pt idx="26">
                  <c:v>5.63948269713659</c:v>
                </c:pt>
                <c:pt idx="27">
                  <c:v>5.84110676056738</c:v>
                </c:pt>
                <c:pt idx="28">
                  <c:v>6.04101733605791</c:v>
                </c:pt>
                <c:pt idx="29">
                  <c:v>6.23915406293177</c:v>
                </c:pt>
                <c:pt idx="30">
                  <c:v>6.43545694283194</c:v>
                </c:pt>
                <c:pt idx="31">
                  <c:v>6.62986635665113</c:v>
                </c:pt>
                <c:pt idx="32">
                  <c:v>6.82232308181218</c:v>
                </c:pt>
                <c:pt idx="33">
                  <c:v>7.01276830989849</c:v>
                </c:pt>
                <c:pt idx="34">
                  <c:v>7.20114366463325</c:v>
                </c:pt>
                <c:pt idx="35">
                  <c:v>7.38739122020505</c:v>
                </c:pt>
                <c:pt idx="36">
                  <c:v>7.57145351993605</c:v>
                </c:pt>
                <c:pt idx="37">
                  <c:v>7.7532735952878</c:v>
                </c:pt>
                <c:pt idx="38">
                  <c:v>7.93279498519819</c:v>
                </c:pt>
                <c:pt idx="39">
                  <c:v>8.109961755742</c:v>
                </c:pt>
                <c:pt idx="40">
                  <c:v>8.28471852010586</c:v>
                </c:pt>
                <c:pt idx="41">
                  <c:v>8.45701045886715</c:v>
                </c:pt>
                <c:pt idx="42">
                  <c:v>8.62678334056514</c:v>
                </c:pt>
                <c:pt idx="43">
                  <c:v>8.79398354255097</c:v>
                </c:pt>
                <c:pt idx="44">
                  <c:v>8.95855807210191</c:v>
                </c:pt>
                <c:pt idx="45">
                  <c:v>9.12045458778378</c:v>
                </c:pt>
                <c:pt idx="46">
                  <c:v>9.27962142104417</c:v>
                </c:pt>
                <c:pt idx="47">
                  <c:v>9.43600759801749</c:v>
                </c:pt>
                <c:pt idx="48">
                  <c:v>9.58956286152171</c:v>
                </c:pt>
                <c:pt idx="49">
                  <c:v>9.74023769322512</c:v>
                </c:pt>
                <c:pt idx="50">
                  <c:v>9.88798333596029</c:v>
                </c:pt>
                <c:pt idx="51">
                  <c:v>10.0327518161609</c:v>
                </c:pt>
                <c:pt idx="52">
                  <c:v>10.1744959663959</c:v>
                </c:pt>
                <c:pt idx="53">
                  <c:v>10.3131694479746</c:v>
                </c:pt>
                <c:pt idx="54">
                  <c:v>10.4487267735937</c:v>
                </c:pt>
                <c:pt idx="55">
                  <c:v>10.5811233299994</c:v>
                </c:pt>
                <c:pt idx="56">
                  <c:v>10.7103154006313</c:v>
                </c:pt>
                <c:pt idx="57">
                  <c:v>10.8362601882202</c:v>
                </c:pt>
                <c:pt idx="58">
                  <c:v>10.9589158373049</c:v>
                </c:pt>
                <c:pt idx="59">
                  <c:v>11.0782414566374</c:v>
                </c:pt>
                <c:pt idx="60">
                  <c:v>11.1941971414408</c:v>
                </c:pt>
                <c:pt idx="61">
                  <c:v>11.3067439954866</c:v>
                </c:pt>
                <c:pt idx="62">
                  <c:v>11.4158441529558</c:v>
                </c:pt>
                <c:pt idx="63">
                  <c:v>11.5214608000484</c:v>
                </c:pt>
                <c:pt idx="64">
                  <c:v>11.6235581963057</c:v>
                </c:pt>
                <c:pt idx="65">
                  <c:v>11.7221016956075</c:v>
                </c:pt>
                <c:pt idx="66">
                  <c:v>11.8170577668095</c:v>
                </c:pt>
                <c:pt idx="67">
                  <c:v>11.9083940139834</c:v>
                </c:pt>
                <c:pt idx="68">
                  <c:v>11.9960791962229</c:v>
                </c:pt>
                <c:pt idx="69">
                  <c:v>12.0800832469791</c:v>
                </c:pt>
                <c:pt idx="70">
                  <c:v>12.1603772928898</c:v>
                </c:pt>
                <c:pt idx="71">
                  <c:v>12.2369336720656</c:v>
                </c:pt>
                <c:pt idx="72">
                  <c:v>12.3097259517984</c:v>
                </c:pt>
                <c:pt idx="73">
                  <c:v>12.3787289456573</c:v>
                </c:pt>
                <c:pt idx="74">
                  <c:v>12.4439187299377</c:v>
                </c:pt>
                <c:pt idx="75">
                  <c:v>12.5052726594297</c:v>
                </c:pt>
                <c:pt idx="76">
                  <c:v>12.5627693824762</c:v>
                </c:pt>
                <c:pt idx="77">
                  <c:v>12.6163888552857</c:v>
                </c:pt>
                <c:pt idx="78">
                  <c:v>12.6661123554741</c:v>
                </c:pt>
                <c:pt idx="79">
                  <c:v>12.7119224948032</c:v>
                </c:pt>
                <c:pt idx="80">
                  <c:v>12.7538032310919</c:v>
                </c:pt>
                <c:pt idx="81">
                  <c:v>12.7917398792726</c:v>
                </c:pt>
                <c:pt idx="82">
                  <c:v>12.8257191215695</c:v>
                </c:pt>
                <c:pt idx="83">
                  <c:v>12.8557290167774</c:v>
                </c:pt>
                <c:pt idx="84">
                  <c:v>12.881759008619</c:v>
                </c:pt>
                <c:pt idx="85">
                  <c:v>12.9037999331639</c:v>
                </c:pt>
                <c:pt idx="86">
                  <c:v>12.9218440252924</c:v>
                </c:pt>
                <c:pt idx="87">
                  <c:v>12.9358849241891</c:v>
                </c:pt>
                <c:pt idx="88">
                  <c:v>12.9459176778548</c:v>
                </c:pt>
                <c:pt idx="89">
                  <c:v>12.9519387466261</c:v>
                </c:pt>
                <c:pt idx="90">
                  <c:v>12.9539460056958</c:v>
                </c:pt>
                <c:pt idx="91">
                  <c:v>12.9519387466261</c:v>
                </c:pt>
                <c:pt idx="92">
                  <c:v>12.9459176778548</c:v>
                </c:pt>
                <c:pt idx="93">
                  <c:v>12.9358849241891</c:v>
                </c:pt>
                <c:pt idx="94">
                  <c:v>12.9218440252924</c:v>
                </c:pt>
                <c:pt idx="95">
                  <c:v>12.9037999331639</c:v>
                </c:pt>
                <c:pt idx="96">
                  <c:v>12.881759008619</c:v>
                </c:pt>
                <c:pt idx="97">
                  <c:v>12.8557290167774</c:v>
                </c:pt>
                <c:pt idx="98">
                  <c:v>12.8257191215695</c:v>
                </c:pt>
                <c:pt idx="99">
                  <c:v>12.7917398792726</c:v>
                </c:pt>
                <c:pt idx="100">
                  <c:v>12.7538032310919</c:v>
                </c:pt>
                <c:pt idx="101">
                  <c:v>12.7119224948032</c:v>
                </c:pt>
                <c:pt idx="102">
                  <c:v>12.6661123554741</c:v>
                </c:pt>
                <c:pt idx="103">
                  <c:v>12.6163888552857</c:v>
                </c:pt>
                <c:pt idx="104">
                  <c:v>12.5627693824762</c:v>
                </c:pt>
                <c:pt idx="105">
                  <c:v>12.5052726594297</c:v>
                </c:pt>
                <c:pt idx="106">
                  <c:v>12.4439187299377</c:v>
                </c:pt>
                <c:pt idx="107">
                  <c:v>12.3787289456573</c:v>
                </c:pt>
                <c:pt idx="108">
                  <c:v>12.3097259517984</c:v>
                </c:pt>
                <c:pt idx="109">
                  <c:v>12.2369336720656</c:v>
                </c:pt>
                <c:pt idx="110">
                  <c:v>12.1603772928898</c:v>
                </c:pt>
                <c:pt idx="111">
                  <c:v>12.0800832469791</c:v>
                </c:pt>
                <c:pt idx="112">
                  <c:v>11.9960791962229</c:v>
                </c:pt>
                <c:pt idx="113">
                  <c:v>11.9083940139834</c:v>
                </c:pt>
                <c:pt idx="114">
                  <c:v>11.8170577668095</c:v>
                </c:pt>
                <c:pt idx="115">
                  <c:v>11.7221016956075</c:v>
                </c:pt>
                <c:pt idx="116">
                  <c:v>11.6235581963057</c:v>
                </c:pt>
                <c:pt idx="117">
                  <c:v>11.5214608000484</c:v>
                </c:pt>
                <c:pt idx="118">
                  <c:v>11.4158441529558</c:v>
                </c:pt>
                <c:pt idx="119">
                  <c:v>11.3067439954866</c:v>
                </c:pt>
                <c:pt idx="120">
                  <c:v>11.1941971414408</c:v>
                </c:pt>
                <c:pt idx="121">
                  <c:v>11.0782414566374</c:v>
                </c:pt>
                <c:pt idx="122">
                  <c:v>10.9589158373049</c:v>
                </c:pt>
                <c:pt idx="123">
                  <c:v>10.8362601882202</c:v>
                </c:pt>
                <c:pt idx="124">
                  <c:v>10.7103154006313</c:v>
                </c:pt>
                <c:pt idx="125">
                  <c:v>10.5811233299994</c:v>
                </c:pt>
                <c:pt idx="126">
                  <c:v>10.4487267735937</c:v>
                </c:pt>
                <c:pt idx="127">
                  <c:v>10.3131694479746</c:v>
                </c:pt>
                <c:pt idx="128">
                  <c:v>10.1744959663959</c:v>
                </c:pt>
                <c:pt idx="129">
                  <c:v>10.0327518161609</c:v>
                </c:pt>
                <c:pt idx="130">
                  <c:v>9.88798333596029</c:v>
                </c:pt>
                <c:pt idx="131">
                  <c:v>9.74023769322512</c:v>
                </c:pt>
                <c:pt idx="132">
                  <c:v>9.58956286152171</c:v>
                </c:pt>
                <c:pt idx="133">
                  <c:v>9.4360075980175</c:v>
                </c:pt>
                <c:pt idx="134">
                  <c:v>9.27962142104417</c:v>
                </c:pt>
                <c:pt idx="135">
                  <c:v>9.12045458778378</c:v>
                </c:pt>
                <c:pt idx="136">
                  <c:v>8.95855807210191</c:v>
                </c:pt>
                <c:pt idx="137">
                  <c:v>8.79398354255097</c:v>
                </c:pt>
                <c:pt idx="138">
                  <c:v>8.62678334056514</c:v>
                </c:pt>
                <c:pt idx="139">
                  <c:v>8.45701045886715</c:v>
                </c:pt>
                <c:pt idx="140">
                  <c:v>8.28471852010586</c:v>
                </c:pt>
                <c:pt idx="141">
                  <c:v>8.109961755742</c:v>
                </c:pt>
                <c:pt idx="142">
                  <c:v>7.93279498519819</c:v>
                </c:pt>
                <c:pt idx="143">
                  <c:v>7.7532735952878</c:v>
                </c:pt>
                <c:pt idx="144">
                  <c:v>7.57145351993605</c:v>
                </c:pt>
                <c:pt idx="145">
                  <c:v>7.38739122020505</c:v>
                </c:pt>
                <c:pt idx="146">
                  <c:v>7.20114366463325</c:v>
                </c:pt>
                <c:pt idx="147">
                  <c:v>7.01276830989849</c:v>
                </c:pt>
                <c:pt idx="148">
                  <c:v>6.82232308181218</c:v>
                </c:pt>
                <c:pt idx="149">
                  <c:v>6.62986635665114</c:v>
                </c:pt>
                <c:pt idx="150">
                  <c:v>6.43545694283194</c:v>
                </c:pt>
                <c:pt idx="151">
                  <c:v>6.23915406293178</c:v>
                </c:pt>
                <c:pt idx="152">
                  <c:v>6.04101733605791</c:v>
                </c:pt>
                <c:pt idx="153">
                  <c:v>5.84110676056738</c:v>
                </c:pt>
                <c:pt idx="154">
                  <c:v>5.6394826971366</c:v>
                </c:pt>
                <c:pt idx="155">
                  <c:v>5.43620585217989</c:v>
                </c:pt>
                <c:pt idx="156">
                  <c:v>5.23133726161461</c:v>
                </c:pt>
                <c:pt idx="157">
                  <c:v>5.02493827496937</c:v>
                </c:pt>
                <c:pt idx="158">
                  <c:v>4.81707053983093</c:v>
                </c:pt>
                <c:pt idx="159">
                  <c:v>4.60779598662431</c:v>
                </c:pt>
                <c:pt idx="160">
                  <c:v>4.3971768137195</c:v>
                </c:pt>
                <c:pt idx="161">
                  <c:v>4.18527547285736</c:v>
                </c:pt>
                <c:pt idx="162">
                  <c:v>3.97215465488642</c:v>
                </c:pt>
                <c:pt idx="163">
                  <c:v>3.75787727580123</c:v>
                </c:pt>
                <c:pt idx="164">
                  <c:v>3.54250646307235</c:v>
                </c:pt>
                <c:pt idx="165">
                  <c:v>3.32610554225705</c:v>
                </c:pt>
                <c:pt idx="166">
                  <c:v>3.10873802387914</c:v>
                </c:pt>
                <c:pt idx="167">
                  <c:v>2.89046759056581</c:v>
                </c:pt>
                <c:pt idx="168">
                  <c:v>2.67135808442831</c:v>
                </c:pt>
                <c:pt idx="169">
                  <c:v>2.45147349467327</c:v>
                </c:pt>
                <c:pt idx="170">
                  <c:v>2.23087794543019</c:v>
                </c:pt>
                <c:pt idx="171">
                  <c:v>2.00963568378074</c:v>
                </c:pt>
                <c:pt idx="172">
                  <c:v>1.7878110679747</c:v>
                </c:pt>
                <c:pt idx="173">
                  <c:v>1.56546855581686</c:v>
                </c:pt>
                <c:pt idx="174">
                  <c:v>1.34267269320904</c:v>
                </c:pt>
                <c:pt idx="175">
                  <c:v>1.11948810283088</c:v>
                </c:pt>
                <c:pt idx="176">
                  <c:v>0.895979472942742</c:v>
                </c:pt>
                <c:pt idx="177">
                  <c:v>0.672211546293769</c:v>
                </c:pt>
                <c:pt idx="178">
                  <c:v>0.448249109117969</c:v>
                </c:pt>
                <c:pt idx="179">
                  <c:v>0.224156980200994</c:v>
                </c:pt>
                <c:pt idx="180">
                  <c:v>1.57292021027384E-015</c:v>
                </c:pt>
                <c:pt idx="181">
                  <c:v>-0.224156980200991</c:v>
                </c:pt>
                <c:pt idx="182">
                  <c:v>-0.448249109117966</c:v>
                </c:pt>
                <c:pt idx="183">
                  <c:v>-0.67221154629376</c:v>
                </c:pt>
                <c:pt idx="184">
                  <c:v>-0.895979472942733</c:v>
                </c:pt>
                <c:pt idx="185">
                  <c:v>-1.11948810283087</c:v>
                </c:pt>
                <c:pt idx="186">
                  <c:v>-1.34267269320903</c:v>
                </c:pt>
                <c:pt idx="187">
                  <c:v>-1.56546855581686</c:v>
                </c:pt>
                <c:pt idx="188">
                  <c:v>-1.7878110679747</c:v>
                </c:pt>
                <c:pt idx="189">
                  <c:v>-2.00963568378074</c:v>
                </c:pt>
                <c:pt idx="190">
                  <c:v>-2.23087794543018</c:v>
                </c:pt>
                <c:pt idx="191">
                  <c:v>-2.45147349467327</c:v>
                </c:pt>
                <c:pt idx="192">
                  <c:v>-2.67135808442831</c:v>
                </c:pt>
                <c:pt idx="193">
                  <c:v>-2.8904675905658</c:v>
                </c:pt>
                <c:pt idx="194">
                  <c:v>-3.10873802387914</c:v>
                </c:pt>
                <c:pt idx="195">
                  <c:v>-3.32610554225704</c:v>
                </c:pt>
                <c:pt idx="196">
                  <c:v>-3.54250646307235</c:v>
                </c:pt>
                <c:pt idx="197">
                  <c:v>-3.75787727580123</c:v>
                </c:pt>
                <c:pt idx="198">
                  <c:v>-3.97215465488642</c:v>
                </c:pt>
                <c:pt idx="199">
                  <c:v>-4.18527547285736</c:v>
                </c:pt>
                <c:pt idx="200">
                  <c:v>-4.3971768137195</c:v>
                </c:pt>
                <c:pt idx="201">
                  <c:v>-4.60779598662431</c:v>
                </c:pt>
                <c:pt idx="202">
                  <c:v>-4.81707053983092</c:v>
                </c:pt>
                <c:pt idx="203">
                  <c:v>-5.02493827496936</c:v>
                </c:pt>
                <c:pt idx="204">
                  <c:v>-5.23133726161461</c:v>
                </c:pt>
                <c:pt idx="205">
                  <c:v>-5.43620585217989</c:v>
                </c:pt>
                <c:pt idx="206">
                  <c:v>-5.63948269713659</c:v>
                </c:pt>
                <c:pt idx="207">
                  <c:v>-5.84110676056737</c:v>
                </c:pt>
                <c:pt idx="208">
                  <c:v>-6.04101733605791</c:v>
                </c:pt>
                <c:pt idx="209">
                  <c:v>-6.23915406293178</c:v>
                </c:pt>
                <c:pt idx="210">
                  <c:v>-6.43545694283195</c:v>
                </c:pt>
                <c:pt idx="211">
                  <c:v>-6.62986635665113</c:v>
                </c:pt>
                <c:pt idx="212">
                  <c:v>-6.82232308181218</c:v>
                </c:pt>
                <c:pt idx="213">
                  <c:v>-7.01276830989849</c:v>
                </c:pt>
                <c:pt idx="214">
                  <c:v>-7.20114366463325</c:v>
                </c:pt>
                <c:pt idx="215">
                  <c:v>-7.38739122020505</c:v>
                </c:pt>
                <c:pt idx="216">
                  <c:v>-7.57145351993605</c:v>
                </c:pt>
                <c:pt idx="217">
                  <c:v>-7.75327359528779</c:v>
                </c:pt>
                <c:pt idx="218">
                  <c:v>-7.93279498519818</c:v>
                </c:pt>
                <c:pt idx="219">
                  <c:v>-8.109961755742</c:v>
                </c:pt>
                <c:pt idx="220">
                  <c:v>-8.28471852010586</c:v>
                </c:pt>
                <c:pt idx="221">
                  <c:v>-8.45701045886715</c:v>
                </c:pt>
                <c:pt idx="222">
                  <c:v>-8.62678334056514</c:v>
                </c:pt>
                <c:pt idx="223">
                  <c:v>-8.79398354255097</c:v>
                </c:pt>
                <c:pt idx="224">
                  <c:v>-8.95855807210191</c:v>
                </c:pt>
                <c:pt idx="225">
                  <c:v>-9.12045458778378</c:v>
                </c:pt>
                <c:pt idx="226">
                  <c:v>-9.27962142104417</c:v>
                </c:pt>
                <c:pt idx="227">
                  <c:v>-9.43600759801749</c:v>
                </c:pt>
                <c:pt idx="228">
                  <c:v>-9.58956286152171</c:v>
                </c:pt>
                <c:pt idx="229">
                  <c:v>-9.74023769322511</c:v>
                </c:pt>
                <c:pt idx="230">
                  <c:v>-9.88798333596029</c:v>
                </c:pt>
                <c:pt idx="231">
                  <c:v>-10.0327518161609</c:v>
                </c:pt>
                <c:pt idx="232">
                  <c:v>-10.174495966396</c:v>
                </c:pt>
                <c:pt idx="233">
                  <c:v>-10.3131694479746</c:v>
                </c:pt>
                <c:pt idx="234">
                  <c:v>-10.4487267735937</c:v>
                </c:pt>
                <c:pt idx="235">
                  <c:v>-10.5811233299994</c:v>
                </c:pt>
                <c:pt idx="236">
                  <c:v>-10.7103154006313</c:v>
                </c:pt>
                <c:pt idx="237">
                  <c:v>-10.8362601882202</c:v>
                </c:pt>
                <c:pt idx="238">
                  <c:v>-10.9589158373049</c:v>
                </c:pt>
                <c:pt idx="239">
                  <c:v>-11.0782414566374</c:v>
                </c:pt>
                <c:pt idx="240">
                  <c:v>-11.1941971414408</c:v>
                </c:pt>
                <c:pt idx="241">
                  <c:v>-11.3067439954866</c:v>
                </c:pt>
                <c:pt idx="242">
                  <c:v>-11.4158441529558</c:v>
                </c:pt>
                <c:pt idx="243">
                  <c:v>-11.5214608000484</c:v>
                </c:pt>
                <c:pt idx="244">
                  <c:v>-11.6235581963057</c:v>
                </c:pt>
                <c:pt idx="245">
                  <c:v>-11.7221016956075</c:v>
                </c:pt>
                <c:pt idx="246">
                  <c:v>-11.8170577668095</c:v>
                </c:pt>
                <c:pt idx="247">
                  <c:v>-11.9083940139834</c:v>
                </c:pt>
                <c:pt idx="248">
                  <c:v>-11.9960791962229</c:v>
                </c:pt>
                <c:pt idx="249">
                  <c:v>-12.0800832469791</c:v>
                </c:pt>
                <c:pt idx="250">
                  <c:v>-12.1603772928898</c:v>
                </c:pt>
                <c:pt idx="251">
                  <c:v>-12.2369336720656</c:v>
                </c:pt>
                <c:pt idx="252">
                  <c:v>-12.3097259517984</c:v>
                </c:pt>
                <c:pt idx="253">
                  <c:v>-12.3787289456573</c:v>
                </c:pt>
                <c:pt idx="254">
                  <c:v>-12.4439187299377</c:v>
                </c:pt>
                <c:pt idx="255">
                  <c:v>-12.5052726594297</c:v>
                </c:pt>
                <c:pt idx="256">
                  <c:v>-12.5627693824762</c:v>
                </c:pt>
                <c:pt idx="257">
                  <c:v>-12.6163888552857</c:v>
                </c:pt>
                <c:pt idx="258">
                  <c:v>-12.6661123554741</c:v>
                </c:pt>
                <c:pt idx="259">
                  <c:v>-12.7119224948032</c:v>
                </c:pt>
                <c:pt idx="260">
                  <c:v>-12.7538032310919</c:v>
                </c:pt>
                <c:pt idx="261">
                  <c:v>-12.7917398792726</c:v>
                </c:pt>
                <c:pt idx="262">
                  <c:v>-12.8257191215695</c:v>
                </c:pt>
                <c:pt idx="263">
                  <c:v>-12.8557290167774</c:v>
                </c:pt>
                <c:pt idx="264">
                  <c:v>-12.881759008619</c:v>
                </c:pt>
                <c:pt idx="265">
                  <c:v>-12.9037999331639</c:v>
                </c:pt>
                <c:pt idx="266">
                  <c:v>-12.9218440252924</c:v>
                </c:pt>
                <c:pt idx="267">
                  <c:v>-12.9358849241891</c:v>
                </c:pt>
                <c:pt idx="268">
                  <c:v>-12.9459176778548</c:v>
                </c:pt>
                <c:pt idx="269">
                  <c:v>-12.9519387466261</c:v>
                </c:pt>
                <c:pt idx="270">
                  <c:v>-12.9539460056958</c:v>
                </c:pt>
                <c:pt idx="271">
                  <c:v>-12.9519387466261</c:v>
                </c:pt>
                <c:pt idx="272">
                  <c:v>-12.9459176778548</c:v>
                </c:pt>
                <c:pt idx="273">
                  <c:v>-12.9358849241891</c:v>
                </c:pt>
                <c:pt idx="274">
                  <c:v>-12.9218440252924</c:v>
                </c:pt>
                <c:pt idx="275">
                  <c:v>-12.9037999331639</c:v>
                </c:pt>
                <c:pt idx="276">
                  <c:v>-12.881759008619</c:v>
                </c:pt>
                <c:pt idx="277">
                  <c:v>-12.8557290167774</c:v>
                </c:pt>
                <c:pt idx="278">
                  <c:v>-12.8257191215695</c:v>
                </c:pt>
                <c:pt idx="279">
                  <c:v>-12.7917398792726</c:v>
                </c:pt>
                <c:pt idx="280">
                  <c:v>-12.7538032310919</c:v>
                </c:pt>
                <c:pt idx="281">
                  <c:v>-12.7119224948032</c:v>
                </c:pt>
                <c:pt idx="282">
                  <c:v>-12.6661123554741</c:v>
                </c:pt>
                <c:pt idx="283">
                  <c:v>-12.6163888552857</c:v>
                </c:pt>
                <c:pt idx="284">
                  <c:v>-12.5627693824762</c:v>
                </c:pt>
                <c:pt idx="285">
                  <c:v>-12.5052726594297</c:v>
                </c:pt>
                <c:pt idx="286">
                  <c:v>-12.4439187299377</c:v>
                </c:pt>
                <c:pt idx="287">
                  <c:v>-12.3787289456573</c:v>
                </c:pt>
                <c:pt idx="288">
                  <c:v>-12.3097259517984</c:v>
                </c:pt>
                <c:pt idx="289">
                  <c:v>-12.2369336720656</c:v>
                </c:pt>
                <c:pt idx="290">
                  <c:v>-12.1603772928898</c:v>
                </c:pt>
                <c:pt idx="291">
                  <c:v>-12.0800832469791</c:v>
                </c:pt>
                <c:pt idx="292">
                  <c:v>-11.9960791962229</c:v>
                </c:pt>
                <c:pt idx="293">
                  <c:v>-11.9083940139834</c:v>
                </c:pt>
                <c:pt idx="294">
                  <c:v>-11.8170577668095</c:v>
                </c:pt>
                <c:pt idx="295">
                  <c:v>-11.7221016956075</c:v>
                </c:pt>
                <c:pt idx="296">
                  <c:v>-11.6235581963057</c:v>
                </c:pt>
                <c:pt idx="297">
                  <c:v>-11.5214608000484</c:v>
                </c:pt>
                <c:pt idx="298">
                  <c:v>-11.4158441529558</c:v>
                </c:pt>
                <c:pt idx="299">
                  <c:v>-11.3067439954866</c:v>
                </c:pt>
                <c:pt idx="300">
                  <c:v>-11.1941971414408</c:v>
                </c:pt>
                <c:pt idx="301">
                  <c:v>-11.0782414566374</c:v>
                </c:pt>
                <c:pt idx="302">
                  <c:v>-10.9589158373049</c:v>
                </c:pt>
                <c:pt idx="303">
                  <c:v>-10.8362601882202</c:v>
                </c:pt>
                <c:pt idx="304">
                  <c:v>-10.7103154006313</c:v>
                </c:pt>
                <c:pt idx="305">
                  <c:v>-10.5811233299994</c:v>
                </c:pt>
                <c:pt idx="306">
                  <c:v>-10.4487267735937</c:v>
                </c:pt>
                <c:pt idx="307">
                  <c:v>-10.3131694479746</c:v>
                </c:pt>
                <c:pt idx="308">
                  <c:v>-10.174495966396</c:v>
                </c:pt>
                <c:pt idx="309">
                  <c:v>-10.0327518161609</c:v>
                </c:pt>
                <c:pt idx="310">
                  <c:v>-9.8879833359603</c:v>
                </c:pt>
                <c:pt idx="311">
                  <c:v>-9.74023769322512</c:v>
                </c:pt>
                <c:pt idx="312">
                  <c:v>-9.58956286152171</c:v>
                </c:pt>
                <c:pt idx="313">
                  <c:v>-9.43600759801749</c:v>
                </c:pt>
                <c:pt idx="314">
                  <c:v>-9.27962142104417</c:v>
                </c:pt>
                <c:pt idx="315">
                  <c:v>-9.12045458778378</c:v>
                </c:pt>
                <c:pt idx="316">
                  <c:v>-8.95855807210191</c:v>
                </c:pt>
                <c:pt idx="317">
                  <c:v>-8.79398354255098</c:v>
                </c:pt>
                <c:pt idx="318">
                  <c:v>-8.62678334056515</c:v>
                </c:pt>
                <c:pt idx="319">
                  <c:v>-8.45701045886715</c:v>
                </c:pt>
                <c:pt idx="320">
                  <c:v>-8.28471852010586</c:v>
                </c:pt>
                <c:pt idx="321">
                  <c:v>-8.109961755742</c:v>
                </c:pt>
                <c:pt idx="322">
                  <c:v>-7.93279498519818</c:v>
                </c:pt>
                <c:pt idx="323">
                  <c:v>-7.7532735952878</c:v>
                </c:pt>
                <c:pt idx="324">
                  <c:v>-7.57145351993606</c:v>
                </c:pt>
                <c:pt idx="325">
                  <c:v>-7.38739122020505</c:v>
                </c:pt>
                <c:pt idx="326">
                  <c:v>-7.20114366463326</c:v>
                </c:pt>
                <c:pt idx="327">
                  <c:v>-7.01276830989849</c:v>
                </c:pt>
                <c:pt idx="328">
                  <c:v>-6.82232308181218</c:v>
                </c:pt>
                <c:pt idx="329">
                  <c:v>-6.62986635665114</c:v>
                </c:pt>
                <c:pt idx="330">
                  <c:v>-6.43545694283195</c:v>
                </c:pt>
                <c:pt idx="331">
                  <c:v>-6.23915406293178</c:v>
                </c:pt>
                <c:pt idx="332">
                  <c:v>-6.04101733605791</c:v>
                </c:pt>
                <c:pt idx="333">
                  <c:v>-5.84110676056738</c:v>
                </c:pt>
                <c:pt idx="334">
                  <c:v>-5.6394826971366</c:v>
                </c:pt>
                <c:pt idx="335">
                  <c:v>-5.43620585217989</c:v>
                </c:pt>
                <c:pt idx="336">
                  <c:v>-5.23133726161461</c:v>
                </c:pt>
                <c:pt idx="337">
                  <c:v>-5.02493827496937</c:v>
                </c:pt>
                <c:pt idx="338">
                  <c:v>-4.81707053983093</c:v>
                </c:pt>
                <c:pt idx="339">
                  <c:v>-4.60779598662432</c:v>
                </c:pt>
                <c:pt idx="340">
                  <c:v>-4.39717681371951</c:v>
                </c:pt>
                <c:pt idx="341">
                  <c:v>-4.18527547285736</c:v>
                </c:pt>
                <c:pt idx="342">
                  <c:v>-3.97215465488642</c:v>
                </c:pt>
                <c:pt idx="343">
                  <c:v>-3.75787727580123</c:v>
                </c:pt>
                <c:pt idx="344">
                  <c:v>-3.54250646307235</c:v>
                </c:pt>
                <c:pt idx="345">
                  <c:v>-3.32610554225705</c:v>
                </c:pt>
                <c:pt idx="346">
                  <c:v>-3.10873802387914</c:v>
                </c:pt>
                <c:pt idx="347">
                  <c:v>-2.89046759056581</c:v>
                </c:pt>
                <c:pt idx="348">
                  <c:v>-2.67135808442832</c:v>
                </c:pt>
                <c:pt idx="349">
                  <c:v>-2.45147349467327</c:v>
                </c:pt>
                <c:pt idx="350">
                  <c:v>-2.23087794543018</c:v>
                </c:pt>
                <c:pt idx="351">
                  <c:v>-2.00963568378074</c:v>
                </c:pt>
                <c:pt idx="352">
                  <c:v>-1.78781106797471</c:v>
                </c:pt>
                <c:pt idx="353">
                  <c:v>-1.56546855581686</c:v>
                </c:pt>
                <c:pt idx="354">
                  <c:v>-1.34267269320904</c:v>
                </c:pt>
                <c:pt idx="355">
                  <c:v>-1.11948810283088</c:v>
                </c:pt>
                <c:pt idx="356">
                  <c:v>-0.895979472942743</c:v>
                </c:pt>
                <c:pt idx="357">
                  <c:v>-0.672211546293759</c:v>
                </c:pt>
                <c:pt idx="358">
                  <c:v>-0.448249109117965</c:v>
                </c:pt>
                <c:pt idx="359">
                  <c:v>-0.224156980200996</c:v>
                </c:pt>
                <c:pt idx="360">
                  <c:v>-3.14584042054767E-015</c:v>
                </c:pt>
              </c:numCache>
            </c:numRef>
          </c:yVal>
          <c:smooth val="1"/>
        </c:ser>
        <c:axId val="34086184"/>
        <c:axId val="9757947"/>
      </c:scatterChart>
      <c:valAx>
        <c:axId val="3408618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Phi vs C Angle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57947"/>
        <c:crosses val="autoZero"/>
        <c:crossBetween val="midCat"/>
      </c:valAx>
      <c:valAx>
        <c:axId val="97579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08618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 Axis Tilt vs C Angle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2ca02c"/>
            </a:solidFill>
            <a:ln w="15120">
              <a:solidFill>
                <a:srgbClr val="2ca02c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Data!$A$2:$A$362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xVal>
          <c:yVal>
            <c:numRef>
              <c:f>Data!$G$2:$G$362</c:f>
              <c:numCache>
                <c:formatCode>General</c:formatCode>
                <c:ptCount val="361"/>
                <c:pt idx="0">
                  <c:v>0</c:v>
                </c:pt>
                <c:pt idx="1">
                  <c:v>0.224156980200995</c:v>
                </c:pt>
                <c:pt idx="2">
                  <c:v>0.448249109117967</c:v>
                </c:pt>
                <c:pt idx="3">
                  <c:v>0.672211546293764</c:v>
                </c:pt>
                <c:pt idx="4">
                  <c:v>0.895979472942739</c:v>
                </c:pt>
                <c:pt idx="5">
                  <c:v>1.11948810283088</c:v>
                </c:pt>
                <c:pt idx="6">
                  <c:v>1.34267269320903</c:v>
                </c:pt>
                <c:pt idx="7">
                  <c:v>1.56546855581686</c:v>
                </c:pt>
                <c:pt idx="8">
                  <c:v>1.7878110679747</c:v>
                </c:pt>
                <c:pt idx="9">
                  <c:v>2.00963568378074</c:v>
                </c:pt>
                <c:pt idx="10">
                  <c:v>2.23087794543018</c:v>
                </c:pt>
                <c:pt idx="11">
                  <c:v>2.45147349467327</c:v>
                </c:pt>
                <c:pt idx="12">
                  <c:v>2.67135808442831</c:v>
                </c:pt>
                <c:pt idx="13">
                  <c:v>2.8904675905658</c:v>
                </c:pt>
                <c:pt idx="14">
                  <c:v>3.10873802387914</c:v>
                </c:pt>
                <c:pt idx="15">
                  <c:v>3.32610554225705</c:v>
                </c:pt>
                <c:pt idx="16">
                  <c:v>3.54250646307235</c:v>
                </c:pt>
                <c:pt idx="17">
                  <c:v>3.75787727580123</c:v>
                </c:pt>
                <c:pt idx="18">
                  <c:v>3.97215465488641</c:v>
                </c:pt>
                <c:pt idx="19">
                  <c:v>4.18527547285736</c:v>
                </c:pt>
                <c:pt idx="20">
                  <c:v>4.3971768137195</c:v>
                </c:pt>
                <c:pt idx="21">
                  <c:v>4.60779598662431</c:v>
                </c:pt>
                <c:pt idx="22">
                  <c:v>4.81707053983092</c:v>
                </c:pt>
                <c:pt idx="23">
                  <c:v>5.02493827496937</c:v>
                </c:pt>
                <c:pt idx="24">
                  <c:v>5.23133726161461</c:v>
                </c:pt>
                <c:pt idx="25">
                  <c:v>5.43620585217989</c:v>
                </c:pt>
                <c:pt idx="26">
                  <c:v>5.63948269713659</c:v>
                </c:pt>
                <c:pt idx="27">
                  <c:v>5.84110676056738</c:v>
                </c:pt>
                <c:pt idx="28">
                  <c:v>6.04101733605791</c:v>
                </c:pt>
                <c:pt idx="29">
                  <c:v>6.23915406293177</c:v>
                </c:pt>
                <c:pt idx="30">
                  <c:v>6.43545694283194</c:v>
                </c:pt>
                <c:pt idx="31">
                  <c:v>6.62986635665113</c:v>
                </c:pt>
                <c:pt idx="32">
                  <c:v>6.82232308181218</c:v>
                </c:pt>
                <c:pt idx="33">
                  <c:v>7.01276830989849</c:v>
                </c:pt>
                <c:pt idx="34">
                  <c:v>7.20114366463325</c:v>
                </c:pt>
                <c:pt idx="35">
                  <c:v>7.38739122020505</c:v>
                </c:pt>
                <c:pt idx="36">
                  <c:v>7.57145351993605</c:v>
                </c:pt>
                <c:pt idx="37">
                  <c:v>7.7532735952878</c:v>
                </c:pt>
                <c:pt idx="38">
                  <c:v>7.93279498519819</c:v>
                </c:pt>
                <c:pt idx="39">
                  <c:v>8.109961755742</c:v>
                </c:pt>
                <c:pt idx="40">
                  <c:v>8.28471852010586</c:v>
                </c:pt>
                <c:pt idx="41">
                  <c:v>8.45701045886715</c:v>
                </c:pt>
                <c:pt idx="42">
                  <c:v>8.62678334056514</c:v>
                </c:pt>
                <c:pt idx="43">
                  <c:v>8.79398354255097</c:v>
                </c:pt>
                <c:pt idx="44">
                  <c:v>8.95855807210191</c:v>
                </c:pt>
                <c:pt idx="45">
                  <c:v>9.12045458778378</c:v>
                </c:pt>
                <c:pt idx="46">
                  <c:v>9.27962142104417</c:v>
                </c:pt>
                <c:pt idx="47">
                  <c:v>9.43600759801749</c:v>
                </c:pt>
                <c:pt idx="48">
                  <c:v>9.58956286152171</c:v>
                </c:pt>
                <c:pt idx="49">
                  <c:v>9.74023769322512</c:v>
                </c:pt>
                <c:pt idx="50">
                  <c:v>9.88798333596029</c:v>
                </c:pt>
                <c:pt idx="51">
                  <c:v>10.0327518161609</c:v>
                </c:pt>
                <c:pt idx="52">
                  <c:v>10.1744959663959</c:v>
                </c:pt>
                <c:pt idx="53">
                  <c:v>10.3131694479746</c:v>
                </c:pt>
                <c:pt idx="54">
                  <c:v>10.4487267735937</c:v>
                </c:pt>
                <c:pt idx="55">
                  <c:v>10.5811233299994</c:v>
                </c:pt>
                <c:pt idx="56">
                  <c:v>10.7103154006313</c:v>
                </c:pt>
                <c:pt idx="57">
                  <c:v>10.8362601882202</c:v>
                </c:pt>
                <c:pt idx="58">
                  <c:v>10.9589158373049</c:v>
                </c:pt>
                <c:pt idx="59">
                  <c:v>11.0782414566374</c:v>
                </c:pt>
                <c:pt idx="60">
                  <c:v>11.1941971414408</c:v>
                </c:pt>
                <c:pt idx="61">
                  <c:v>11.3067439954866</c:v>
                </c:pt>
                <c:pt idx="62">
                  <c:v>11.4158441529558</c:v>
                </c:pt>
                <c:pt idx="63">
                  <c:v>11.5214608000484</c:v>
                </c:pt>
                <c:pt idx="64">
                  <c:v>11.6235581963057</c:v>
                </c:pt>
                <c:pt idx="65">
                  <c:v>11.7221016956075</c:v>
                </c:pt>
                <c:pt idx="66">
                  <c:v>11.8170577668095</c:v>
                </c:pt>
                <c:pt idx="67">
                  <c:v>11.9083940139834</c:v>
                </c:pt>
                <c:pt idx="68">
                  <c:v>11.9960791962229</c:v>
                </c:pt>
                <c:pt idx="69">
                  <c:v>12.0800832469791</c:v>
                </c:pt>
                <c:pt idx="70">
                  <c:v>12.1603772928898</c:v>
                </c:pt>
                <c:pt idx="71">
                  <c:v>12.2369336720656</c:v>
                </c:pt>
                <c:pt idx="72">
                  <c:v>12.3097259517984</c:v>
                </c:pt>
                <c:pt idx="73">
                  <c:v>12.3787289456573</c:v>
                </c:pt>
                <c:pt idx="74">
                  <c:v>12.4439187299377</c:v>
                </c:pt>
                <c:pt idx="75">
                  <c:v>12.5052726594297</c:v>
                </c:pt>
                <c:pt idx="76">
                  <c:v>12.5627693824762</c:v>
                </c:pt>
                <c:pt idx="77">
                  <c:v>12.6163888552857</c:v>
                </c:pt>
                <c:pt idx="78">
                  <c:v>12.6661123554741</c:v>
                </c:pt>
                <c:pt idx="79">
                  <c:v>12.7119224948032</c:v>
                </c:pt>
                <c:pt idx="80">
                  <c:v>12.7538032310919</c:v>
                </c:pt>
                <c:pt idx="81">
                  <c:v>12.7917398792726</c:v>
                </c:pt>
                <c:pt idx="82">
                  <c:v>12.8257191215695</c:v>
                </c:pt>
                <c:pt idx="83">
                  <c:v>12.8557290167774</c:v>
                </c:pt>
                <c:pt idx="84">
                  <c:v>12.881759008619</c:v>
                </c:pt>
                <c:pt idx="85">
                  <c:v>12.9037999331639</c:v>
                </c:pt>
                <c:pt idx="86">
                  <c:v>12.9218440252924</c:v>
                </c:pt>
                <c:pt idx="87">
                  <c:v>12.9358849241891</c:v>
                </c:pt>
                <c:pt idx="88">
                  <c:v>12.9459176778548</c:v>
                </c:pt>
                <c:pt idx="89">
                  <c:v>12.9519387466261</c:v>
                </c:pt>
                <c:pt idx="90">
                  <c:v>12.9539460056958</c:v>
                </c:pt>
                <c:pt idx="91">
                  <c:v>12.9519387466261</c:v>
                </c:pt>
                <c:pt idx="92">
                  <c:v>12.9459176778548</c:v>
                </c:pt>
                <c:pt idx="93">
                  <c:v>12.9358849241891</c:v>
                </c:pt>
                <c:pt idx="94">
                  <c:v>12.9218440252924</c:v>
                </c:pt>
                <c:pt idx="95">
                  <c:v>12.9037999331639</c:v>
                </c:pt>
                <c:pt idx="96">
                  <c:v>12.881759008619</c:v>
                </c:pt>
                <c:pt idx="97">
                  <c:v>12.8557290167774</c:v>
                </c:pt>
                <c:pt idx="98">
                  <c:v>12.8257191215695</c:v>
                </c:pt>
                <c:pt idx="99">
                  <c:v>12.7917398792726</c:v>
                </c:pt>
                <c:pt idx="100">
                  <c:v>12.7538032310919</c:v>
                </c:pt>
                <c:pt idx="101">
                  <c:v>12.7119224948032</c:v>
                </c:pt>
                <c:pt idx="102">
                  <c:v>12.6661123554741</c:v>
                </c:pt>
                <c:pt idx="103">
                  <c:v>12.6163888552857</c:v>
                </c:pt>
                <c:pt idx="104">
                  <c:v>12.5627693824762</c:v>
                </c:pt>
                <c:pt idx="105">
                  <c:v>12.5052726594297</c:v>
                </c:pt>
                <c:pt idx="106">
                  <c:v>12.4439187299377</c:v>
                </c:pt>
                <c:pt idx="107">
                  <c:v>12.3787289456573</c:v>
                </c:pt>
                <c:pt idx="108">
                  <c:v>12.3097259517984</c:v>
                </c:pt>
                <c:pt idx="109">
                  <c:v>12.2369336720656</c:v>
                </c:pt>
                <c:pt idx="110">
                  <c:v>12.1603772928898</c:v>
                </c:pt>
                <c:pt idx="111">
                  <c:v>12.0800832469791</c:v>
                </c:pt>
                <c:pt idx="112">
                  <c:v>11.9960791962229</c:v>
                </c:pt>
                <c:pt idx="113">
                  <c:v>11.9083940139834</c:v>
                </c:pt>
                <c:pt idx="114">
                  <c:v>11.8170577668095</c:v>
                </c:pt>
                <c:pt idx="115">
                  <c:v>11.7221016956075</c:v>
                </c:pt>
                <c:pt idx="116">
                  <c:v>11.6235581963057</c:v>
                </c:pt>
                <c:pt idx="117">
                  <c:v>11.5214608000484</c:v>
                </c:pt>
                <c:pt idx="118">
                  <c:v>11.4158441529558</c:v>
                </c:pt>
                <c:pt idx="119">
                  <c:v>11.3067439954866</c:v>
                </c:pt>
                <c:pt idx="120">
                  <c:v>11.1941971414408</c:v>
                </c:pt>
                <c:pt idx="121">
                  <c:v>11.0782414566374</c:v>
                </c:pt>
                <c:pt idx="122">
                  <c:v>10.9589158373049</c:v>
                </c:pt>
                <c:pt idx="123">
                  <c:v>10.8362601882202</c:v>
                </c:pt>
                <c:pt idx="124">
                  <c:v>10.7103154006313</c:v>
                </c:pt>
                <c:pt idx="125">
                  <c:v>10.5811233299994</c:v>
                </c:pt>
                <c:pt idx="126">
                  <c:v>10.4487267735937</c:v>
                </c:pt>
                <c:pt idx="127">
                  <c:v>10.3131694479746</c:v>
                </c:pt>
                <c:pt idx="128">
                  <c:v>10.1744959663959</c:v>
                </c:pt>
                <c:pt idx="129">
                  <c:v>10.0327518161609</c:v>
                </c:pt>
                <c:pt idx="130">
                  <c:v>9.88798333596029</c:v>
                </c:pt>
                <c:pt idx="131">
                  <c:v>9.74023769322512</c:v>
                </c:pt>
                <c:pt idx="132">
                  <c:v>9.58956286152171</c:v>
                </c:pt>
                <c:pt idx="133">
                  <c:v>9.4360075980175</c:v>
                </c:pt>
                <c:pt idx="134">
                  <c:v>9.27962142104417</c:v>
                </c:pt>
                <c:pt idx="135">
                  <c:v>9.12045458778378</c:v>
                </c:pt>
                <c:pt idx="136">
                  <c:v>8.95855807210191</c:v>
                </c:pt>
                <c:pt idx="137">
                  <c:v>8.79398354255097</c:v>
                </c:pt>
                <c:pt idx="138">
                  <c:v>8.62678334056514</c:v>
                </c:pt>
                <c:pt idx="139">
                  <c:v>8.45701045886715</c:v>
                </c:pt>
                <c:pt idx="140">
                  <c:v>8.28471852010586</c:v>
                </c:pt>
                <c:pt idx="141">
                  <c:v>8.109961755742</c:v>
                </c:pt>
                <c:pt idx="142">
                  <c:v>7.93279498519819</c:v>
                </c:pt>
                <c:pt idx="143">
                  <c:v>7.7532735952878</c:v>
                </c:pt>
                <c:pt idx="144">
                  <c:v>7.57145351993605</c:v>
                </c:pt>
                <c:pt idx="145">
                  <c:v>7.38739122020505</c:v>
                </c:pt>
                <c:pt idx="146">
                  <c:v>7.20114366463325</c:v>
                </c:pt>
                <c:pt idx="147">
                  <c:v>7.01276830989849</c:v>
                </c:pt>
                <c:pt idx="148">
                  <c:v>6.82232308181218</c:v>
                </c:pt>
                <c:pt idx="149">
                  <c:v>6.62986635665114</c:v>
                </c:pt>
                <c:pt idx="150">
                  <c:v>6.43545694283194</c:v>
                </c:pt>
                <c:pt idx="151">
                  <c:v>6.23915406293178</c:v>
                </c:pt>
                <c:pt idx="152">
                  <c:v>6.04101733605791</c:v>
                </c:pt>
                <c:pt idx="153">
                  <c:v>5.84110676056738</c:v>
                </c:pt>
                <c:pt idx="154">
                  <c:v>5.6394826971366</c:v>
                </c:pt>
                <c:pt idx="155">
                  <c:v>5.43620585217989</c:v>
                </c:pt>
                <c:pt idx="156">
                  <c:v>5.23133726161461</c:v>
                </c:pt>
                <c:pt idx="157">
                  <c:v>5.02493827496937</c:v>
                </c:pt>
                <c:pt idx="158">
                  <c:v>4.81707053983093</c:v>
                </c:pt>
                <c:pt idx="159">
                  <c:v>4.60779598662431</c:v>
                </c:pt>
                <c:pt idx="160">
                  <c:v>4.3971768137195</c:v>
                </c:pt>
                <c:pt idx="161">
                  <c:v>4.18527547285736</c:v>
                </c:pt>
                <c:pt idx="162">
                  <c:v>3.97215465488642</c:v>
                </c:pt>
                <c:pt idx="163">
                  <c:v>3.75787727580123</c:v>
                </c:pt>
                <c:pt idx="164">
                  <c:v>3.54250646307235</c:v>
                </c:pt>
                <c:pt idx="165">
                  <c:v>3.32610554225705</c:v>
                </c:pt>
                <c:pt idx="166">
                  <c:v>3.10873802387914</c:v>
                </c:pt>
                <c:pt idx="167">
                  <c:v>2.89046759056581</c:v>
                </c:pt>
                <c:pt idx="168">
                  <c:v>2.67135808442831</c:v>
                </c:pt>
                <c:pt idx="169">
                  <c:v>2.45147349467327</c:v>
                </c:pt>
                <c:pt idx="170">
                  <c:v>2.23087794543019</c:v>
                </c:pt>
                <c:pt idx="171">
                  <c:v>2.00963568378074</c:v>
                </c:pt>
                <c:pt idx="172">
                  <c:v>1.7878110679747</c:v>
                </c:pt>
                <c:pt idx="173">
                  <c:v>1.56546855581686</c:v>
                </c:pt>
                <c:pt idx="174">
                  <c:v>1.34267269320904</c:v>
                </c:pt>
                <c:pt idx="175">
                  <c:v>1.11948810283088</c:v>
                </c:pt>
                <c:pt idx="176">
                  <c:v>0.895979472942742</c:v>
                </c:pt>
                <c:pt idx="177">
                  <c:v>0.672211546293769</c:v>
                </c:pt>
                <c:pt idx="178">
                  <c:v>0.448249109117969</c:v>
                </c:pt>
                <c:pt idx="179">
                  <c:v>0.224156980200994</c:v>
                </c:pt>
                <c:pt idx="180">
                  <c:v>1.57292021027384E-015</c:v>
                </c:pt>
                <c:pt idx="181">
                  <c:v>-0.224156980200991</c:v>
                </c:pt>
                <c:pt idx="182">
                  <c:v>-0.448249109117966</c:v>
                </c:pt>
                <c:pt idx="183">
                  <c:v>-0.67221154629376</c:v>
                </c:pt>
                <c:pt idx="184">
                  <c:v>-0.895979472942733</c:v>
                </c:pt>
                <c:pt idx="185">
                  <c:v>-1.11948810283087</c:v>
                </c:pt>
                <c:pt idx="186">
                  <c:v>-1.34267269320903</c:v>
                </c:pt>
                <c:pt idx="187">
                  <c:v>-1.56546855581686</c:v>
                </c:pt>
                <c:pt idx="188">
                  <c:v>-1.7878110679747</c:v>
                </c:pt>
                <c:pt idx="189">
                  <c:v>-2.00963568378074</c:v>
                </c:pt>
                <c:pt idx="190">
                  <c:v>-2.23087794543018</c:v>
                </c:pt>
                <c:pt idx="191">
                  <c:v>-2.45147349467327</c:v>
                </c:pt>
                <c:pt idx="192">
                  <c:v>-2.67135808442831</c:v>
                </c:pt>
                <c:pt idx="193">
                  <c:v>-2.8904675905658</c:v>
                </c:pt>
                <c:pt idx="194">
                  <c:v>-3.10873802387914</c:v>
                </c:pt>
                <c:pt idx="195">
                  <c:v>-3.32610554225704</c:v>
                </c:pt>
                <c:pt idx="196">
                  <c:v>-3.54250646307235</c:v>
                </c:pt>
                <c:pt idx="197">
                  <c:v>-3.75787727580123</c:v>
                </c:pt>
                <c:pt idx="198">
                  <c:v>-3.97215465488642</c:v>
                </c:pt>
                <c:pt idx="199">
                  <c:v>-4.18527547285736</c:v>
                </c:pt>
                <c:pt idx="200">
                  <c:v>-4.3971768137195</c:v>
                </c:pt>
                <c:pt idx="201">
                  <c:v>-4.60779598662431</c:v>
                </c:pt>
                <c:pt idx="202">
                  <c:v>-4.81707053983092</c:v>
                </c:pt>
                <c:pt idx="203">
                  <c:v>-5.02493827496936</c:v>
                </c:pt>
                <c:pt idx="204">
                  <c:v>-5.23133726161461</c:v>
                </c:pt>
                <c:pt idx="205">
                  <c:v>-5.43620585217989</c:v>
                </c:pt>
                <c:pt idx="206">
                  <c:v>-5.63948269713659</c:v>
                </c:pt>
                <c:pt idx="207">
                  <c:v>-5.84110676056737</c:v>
                </c:pt>
                <c:pt idx="208">
                  <c:v>-6.04101733605791</c:v>
                </c:pt>
                <c:pt idx="209">
                  <c:v>-6.23915406293178</c:v>
                </c:pt>
                <c:pt idx="210">
                  <c:v>-6.43545694283195</c:v>
                </c:pt>
                <c:pt idx="211">
                  <c:v>-6.62986635665113</c:v>
                </c:pt>
                <c:pt idx="212">
                  <c:v>-6.82232308181218</c:v>
                </c:pt>
                <c:pt idx="213">
                  <c:v>-7.01276830989849</c:v>
                </c:pt>
                <c:pt idx="214">
                  <c:v>-7.20114366463325</c:v>
                </c:pt>
                <c:pt idx="215">
                  <c:v>-7.38739122020505</c:v>
                </c:pt>
                <c:pt idx="216">
                  <c:v>-7.57145351993605</c:v>
                </c:pt>
                <c:pt idx="217">
                  <c:v>-7.75327359528779</c:v>
                </c:pt>
                <c:pt idx="218">
                  <c:v>-7.93279498519818</c:v>
                </c:pt>
                <c:pt idx="219">
                  <c:v>-8.109961755742</c:v>
                </c:pt>
                <c:pt idx="220">
                  <c:v>-8.28471852010586</c:v>
                </c:pt>
                <c:pt idx="221">
                  <c:v>-8.45701045886715</c:v>
                </c:pt>
                <c:pt idx="222">
                  <c:v>-8.62678334056514</c:v>
                </c:pt>
                <c:pt idx="223">
                  <c:v>-8.79398354255097</c:v>
                </c:pt>
                <c:pt idx="224">
                  <c:v>-8.95855807210191</c:v>
                </c:pt>
                <c:pt idx="225">
                  <c:v>-9.12045458778378</c:v>
                </c:pt>
                <c:pt idx="226">
                  <c:v>-9.27962142104417</c:v>
                </c:pt>
                <c:pt idx="227">
                  <c:v>-9.43600759801749</c:v>
                </c:pt>
                <c:pt idx="228">
                  <c:v>-9.58956286152171</c:v>
                </c:pt>
                <c:pt idx="229">
                  <c:v>-9.74023769322511</c:v>
                </c:pt>
                <c:pt idx="230">
                  <c:v>-9.88798333596029</c:v>
                </c:pt>
                <c:pt idx="231">
                  <c:v>-10.0327518161609</c:v>
                </c:pt>
                <c:pt idx="232">
                  <c:v>-10.174495966396</c:v>
                </c:pt>
                <c:pt idx="233">
                  <c:v>-10.3131694479746</c:v>
                </c:pt>
                <c:pt idx="234">
                  <c:v>-10.4487267735937</c:v>
                </c:pt>
                <c:pt idx="235">
                  <c:v>-10.5811233299994</c:v>
                </c:pt>
                <c:pt idx="236">
                  <c:v>-10.7103154006313</c:v>
                </c:pt>
                <c:pt idx="237">
                  <c:v>-10.8362601882202</c:v>
                </c:pt>
                <c:pt idx="238">
                  <c:v>-10.9589158373049</c:v>
                </c:pt>
                <c:pt idx="239">
                  <c:v>-11.0782414566374</c:v>
                </c:pt>
                <c:pt idx="240">
                  <c:v>-11.1941971414408</c:v>
                </c:pt>
                <c:pt idx="241">
                  <c:v>-11.3067439954866</c:v>
                </c:pt>
                <c:pt idx="242">
                  <c:v>-11.4158441529558</c:v>
                </c:pt>
                <c:pt idx="243">
                  <c:v>-11.5214608000484</c:v>
                </c:pt>
                <c:pt idx="244">
                  <c:v>-11.6235581963057</c:v>
                </c:pt>
                <c:pt idx="245">
                  <c:v>-11.7221016956075</c:v>
                </c:pt>
                <c:pt idx="246">
                  <c:v>-11.8170577668095</c:v>
                </c:pt>
                <c:pt idx="247">
                  <c:v>-11.9083940139834</c:v>
                </c:pt>
                <c:pt idx="248">
                  <c:v>-11.9960791962229</c:v>
                </c:pt>
                <c:pt idx="249">
                  <c:v>-12.0800832469791</c:v>
                </c:pt>
                <c:pt idx="250">
                  <c:v>-12.1603772928898</c:v>
                </c:pt>
                <c:pt idx="251">
                  <c:v>-12.2369336720656</c:v>
                </c:pt>
                <c:pt idx="252">
                  <c:v>-12.3097259517984</c:v>
                </c:pt>
                <c:pt idx="253">
                  <c:v>-12.3787289456573</c:v>
                </c:pt>
                <c:pt idx="254">
                  <c:v>-12.4439187299377</c:v>
                </c:pt>
                <c:pt idx="255">
                  <c:v>-12.5052726594297</c:v>
                </c:pt>
                <c:pt idx="256">
                  <c:v>-12.5627693824762</c:v>
                </c:pt>
                <c:pt idx="257">
                  <c:v>-12.6163888552857</c:v>
                </c:pt>
                <c:pt idx="258">
                  <c:v>-12.6661123554741</c:v>
                </c:pt>
                <c:pt idx="259">
                  <c:v>-12.7119224948032</c:v>
                </c:pt>
                <c:pt idx="260">
                  <c:v>-12.7538032310919</c:v>
                </c:pt>
                <c:pt idx="261">
                  <c:v>-12.7917398792726</c:v>
                </c:pt>
                <c:pt idx="262">
                  <c:v>-12.8257191215695</c:v>
                </c:pt>
                <c:pt idx="263">
                  <c:v>-12.8557290167774</c:v>
                </c:pt>
                <c:pt idx="264">
                  <c:v>-12.881759008619</c:v>
                </c:pt>
                <c:pt idx="265">
                  <c:v>-12.9037999331639</c:v>
                </c:pt>
                <c:pt idx="266">
                  <c:v>-12.9218440252924</c:v>
                </c:pt>
                <c:pt idx="267">
                  <c:v>-12.9358849241891</c:v>
                </c:pt>
                <c:pt idx="268">
                  <c:v>-12.9459176778548</c:v>
                </c:pt>
                <c:pt idx="269">
                  <c:v>-12.9519387466261</c:v>
                </c:pt>
                <c:pt idx="270">
                  <c:v>-12.9539460056958</c:v>
                </c:pt>
                <c:pt idx="271">
                  <c:v>-12.9519387466261</c:v>
                </c:pt>
                <c:pt idx="272">
                  <c:v>-12.9459176778548</c:v>
                </c:pt>
                <c:pt idx="273">
                  <c:v>-12.9358849241891</c:v>
                </c:pt>
                <c:pt idx="274">
                  <c:v>-12.9218440252924</c:v>
                </c:pt>
                <c:pt idx="275">
                  <c:v>-12.9037999331639</c:v>
                </c:pt>
                <c:pt idx="276">
                  <c:v>-12.881759008619</c:v>
                </c:pt>
                <c:pt idx="277">
                  <c:v>-12.8557290167774</c:v>
                </c:pt>
                <c:pt idx="278">
                  <c:v>-12.8257191215695</c:v>
                </c:pt>
                <c:pt idx="279">
                  <c:v>-12.7917398792726</c:v>
                </c:pt>
                <c:pt idx="280">
                  <c:v>-12.7538032310919</c:v>
                </c:pt>
                <c:pt idx="281">
                  <c:v>-12.7119224948032</c:v>
                </c:pt>
                <c:pt idx="282">
                  <c:v>-12.6661123554741</c:v>
                </c:pt>
                <c:pt idx="283">
                  <c:v>-12.6163888552857</c:v>
                </c:pt>
                <c:pt idx="284">
                  <c:v>-12.5627693824762</c:v>
                </c:pt>
                <c:pt idx="285">
                  <c:v>-12.5052726594297</c:v>
                </c:pt>
                <c:pt idx="286">
                  <c:v>-12.4439187299377</c:v>
                </c:pt>
                <c:pt idx="287">
                  <c:v>-12.3787289456573</c:v>
                </c:pt>
                <c:pt idx="288">
                  <c:v>-12.3097259517984</c:v>
                </c:pt>
                <c:pt idx="289">
                  <c:v>-12.2369336720656</c:v>
                </c:pt>
                <c:pt idx="290">
                  <c:v>-12.1603772928898</c:v>
                </c:pt>
                <c:pt idx="291">
                  <c:v>-12.0800832469791</c:v>
                </c:pt>
                <c:pt idx="292">
                  <c:v>-11.9960791962229</c:v>
                </c:pt>
                <c:pt idx="293">
                  <c:v>-11.9083940139834</c:v>
                </c:pt>
                <c:pt idx="294">
                  <c:v>-11.8170577668095</c:v>
                </c:pt>
                <c:pt idx="295">
                  <c:v>-11.7221016956075</c:v>
                </c:pt>
                <c:pt idx="296">
                  <c:v>-11.6235581963057</c:v>
                </c:pt>
                <c:pt idx="297">
                  <c:v>-11.5214608000484</c:v>
                </c:pt>
                <c:pt idx="298">
                  <c:v>-11.4158441529558</c:v>
                </c:pt>
                <c:pt idx="299">
                  <c:v>-11.3067439954866</c:v>
                </c:pt>
                <c:pt idx="300">
                  <c:v>-11.1941971414408</c:v>
                </c:pt>
                <c:pt idx="301">
                  <c:v>-11.0782414566374</c:v>
                </c:pt>
                <c:pt idx="302">
                  <c:v>-10.9589158373049</c:v>
                </c:pt>
                <c:pt idx="303">
                  <c:v>-10.8362601882202</c:v>
                </c:pt>
                <c:pt idx="304">
                  <c:v>-10.7103154006313</c:v>
                </c:pt>
                <c:pt idx="305">
                  <c:v>-10.5811233299994</c:v>
                </c:pt>
                <c:pt idx="306">
                  <c:v>-10.4487267735937</c:v>
                </c:pt>
                <c:pt idx="307">
                  <c:v>-10.3131694479746</c:v>
                </c:pt>
                <c:pt idx="308">
                  <c:v>-10.174495966396</c:v>
                </c:pt>
                <c:pt idx="309">
                  <c:v>-10.0327518161609</c:v>
                </c:pt>
                <c:pt idx="310">
                  <c:v>-9.8879833359603</c:v>
                </c:pt>
                <c:pt idx="311">
                  <c:v>-9.74023769322512</c:v>
                </c:pt>
                <c:pt idx="312">
                  <c:v>-9.58956286152171</c:v>
                </c:pt>
                <c:pt idx="313">
                  <c:v>-9.43600759801749</c:v>
                </c:pt>
                <c:pt idx="314">
                  <c:v>-9.27962142104417</c:v>
                </c:pt>
                <c:pt idx="315">
                  <c:v>-9.12045458778378</c:v>
                </c:pt>
                <c:pt idx="316">
                  <c:v>-8.95855807210191</c:v>
                </c:pt>
                <c:pt idx="317">
                  <c:v>-8.79398354255098</c:v>
                </c:pt>
                <c:pt idx="318">
                  <c:v>-8.62678334056515</c:v>
                </c:pt>
                <c:pt idx="319">
                  <c:v>-8.45701045886715</c:v>
                </c:pt>
                <c:pt idx="320">
                  <c:v>-8.28471852010586</c:v>
                </c:pt>
                <c:pt idx="321">
                  <c:v>-8.109961755742</c:v>
                </c:pt>
                <c:pt idx="322">
                  <c:v>-7.93279498519818</c:v>
                </c:pt>
                <c:pt idx="323">
                  <c:v>-7.7532735952878</c:v>
                </c:pt>
                <c:pt idx="324">
                  <c:v>-7.57145351993606</c:v>
                </c:pt>
                <c:pt idx="325">
                  <c:v>-7.38739122020505</c:v>
                </c:pt>
                <c:pt idx="326">
                  <c:v>-7.20114366463326</c:v>
                </c:pt>
                <c:pt idx="327">
                  <c:v>-7.01276830989849</c:v>
                </c:pt>
                <c:pt idx="328">
                  <c:v>-6.82232308181218</c:v>
                </c:pt>
                <c:pt idx="329">
                  <c:v>-6.62986635665114</c:v>
                </c:pt>
                <c:pt idx="330">
                  <c:v>-6.43545694283195</c:v>
                </c:pt>
                <c:pt idx="331">
                  <c:v>-6.23915406293178</c:v>
                </c:pt>
                <c:pt idx="332">
                  <c:v>-6.04101733605791</c:v>
                </c:pt>
                <c:pt idx="333">
                  <c:v>-5.84110676056738</c:v>
                </c:pt>
                <c:pt idx="334">
                  <c:v>-5.6394826971366</c:v>
                </c:pt>
                <c:pt idx="335">
                  <c:v>-5.43620585217989</c:v>
                </c:pt>
                <c:pt idx="336">
                  <c:v>-5.23133726161461</c:v>
                </c:pt>
                <c:pt idx="337">
                  <c:v>-5.02493827496937</c:v>
                </c:pt>
                <c:pt idx="338">
                  <c:v>-4.81707053983093</c:v>
                </c:pt>
                <c:pt idx="339">
                  <c:v>-4.60779598662432</c:v>
                </c:pt>
                <c:pt idx="340">
                  <c:v>-4.39717681371951</c:v>
                </c:pt>
                <c:pt idx="341">
                  <c:v>-4.18527547285736</c:v>
                </c:pt>
                <c:pt idx="342">
                  <c:v>-3.97215465488642</c:v>
                </c:pt>
                <c:pt idx="343">
                  <c:v>-3.75787727580123</c:v>
                </c:pt>
                <c:pt idx="344">
                  <c:v>-3.54250646307235</c:v>
                </c:pt>
                <c:pt idx="345">
                  <c:v>-3.32610554225705</c:v>
                </c:pt>
                <c:pt idx="346">
                  <c:v>-3.10873802387914</c:v>
                </c:pt>
                <c:pt idx="347">
                  <c:v>-2.89046759056581</c:v>
                </c:pt>
                <c:pt idx="348">
                  <c:v>-2.67135808442832</c:v>
                </c:pt>
                <c:pt idx="349">
                  <c:v>-2.45147349467327</c:v>
                </c:pt>
                <c:pt idx="350">
                  <c:v>-2.23087794543018</c:v>
                </c:pt>
                <c:pt idx="351">
                  <c:v>-2.00963568378074</c:v>
                </c:pt>
                <c:pt idx="352">
                  <c:v>-1.78781106797471</c:v>
                </c:pt>
                <c:pt idx="353">
                  <c:v>-1.56546855581686</c:v>
                </c:pt>
                <c:pt idx="354">
                  <c:v>-1.34267269320904</c:v>
                </c:pt>
                <c:pt idx="355">
                  <c:v>-1.11948810283088</c:v>
                </c:pt>
                <c:pt idx="356">
                  <c:v>-0.895979472942743</c:v>
                </c:pt>
                <c:pt idx="357">
                  <c:v>-0.672211546293759</c:v>
                </c:pt>
                <c:pt idx="358">
                  <c:v>-0.448249109117965</c:v>
                </c:pt>
                <c:pt idx="359">
                  <c:v>-0.224156980200996</c:v>
                </c:pt>
                <c:pt idx="360">
                  <c:v>-3.14584042054767E-015</c:v>
                </c:pt>
              </c:numCache>
            </c:numRef>
          </c:yVal>
          <c:smooth val="1"/>
        </c:ser>
        <c:axId val="917823"/>
        <c:axId val="86110514"/>
      </c:scatterChart>
      <c:valAx>
        <c:axId val="91782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 Axis Tilt vs C Angle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110514"/>
        <c:crosses val="autoZero"/>
        <c:crossBetween val="midCat"/>
      </c:valAx>
      <c:valAx>
        <c:axId val="861105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782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Radius Check (flat = correct)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9467bd"/>
            </a:solidFill>
            <a:ln w="15120">
              <a:solidFill>
                <a:srgbClr val="9467bd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Data!$A$2:$A$362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xVal>
          <c:yVal>
            <c:numRef>
              <c:f>Data!$H$2:$H$362</c:f>
              <c:numCache>
                <c:formatCode>General</c:formatCode>
                <c:ptCount val="361"/>
                <c:pt idx="0">
                  <c:v>1.165</c:v>
                </c:pt>
                <c:pt idx="1">
                  <c:v>1.165</c:v>
                </c:pt>
                <c:pt idx="2">
                  <c:v>1.165</c:v>
                </c:pt>
                <c:pt idx="3">
                  <c:v>1.165</c:v>
                </c:pt>
                <c:pt idx="4">
                  <c:v>1.165</c:v>
                </c:pt>
                <c:pt idx="5">
                  <c:v>1.165</c:v>
                </c:pt>
                <c:pt idx="6">
                  <c:v>1.165</c:v>
                </c:pt>
                <c:pt idx="7">
                  <c:v>1.165</c:v>
                </c:pt>
                <c:pt idx="8">
                  <c:v>1.165</c:v>
                </c:pt>
                <c:pt idx="9">
                  <c:v>1.165</c:v>
                </c:pt>
                <c:pt idx="10">
                  <c:v>1.165</c:v>
                </c:pt>
                <c:pt idx="11">
                  <c:v>1.165</c:v>
                </c:pt>
                <c:pt idx="12">
                  <c:v>1.165</c:v>
                </c:pt>
                <c:pt idx="13">
                  <c:v>1.165</c:v>
                </c:pt>
                <c:pt idx="14">
                  <c:v>1.165</c:v>
                </c:pt>
                <c:pt idx="15">
                  <c:v>1.165</c:v>
                </c:pt>
                <c:pt idx="16">
                  <c:v>1.165</c:v>
                </c:pt>
                <c:pt idx="17">
                  <c:v>1.165</c:v>
                </c:pt>
                <c:pt idx="18">
                  <c:v>1.165</c:v>
                </c:pt>
                <c:pt idx="19">
                  <c:v>1.165</c:v>
                </c:pt>
                <c:pt idx="20">
                  <c:v>1.165</c:v>
                </c:pt>
                <c:pt idx="21">
                  <c:v>1.165</c:v>
                </c:pt>
                <c:pt idx="22">
                  <c:v>1.165</c:v>
                </c:pt>
                <c:pt idx="23">
                  <c:v>1.165</c:v>
                </c:pt>
                <c:pt idx="24">
                  <c:v>1.165</c:v>
                </c:pt>
                <c:pt idx="25">
                  <c:v>1.165</c:v>
                </c:pt>
                <c:pt idx="26">
                  <c:v>1.165</c:v>
                </c:pt>
                <c:pt idx="27">
                  <c:v>1.165</c:v>
                </c:pt>
                <c:pt idx="28">
                  <c:v>1.165</c:v>
                </c:pt>
                <c:pt idx="29">
                  <c:v>1.165</c:v>
                </c:pt>
                <c:pt idx="30">
                  <c:v>1.165</c:v>
                </c:pt>
                <c:pt idx="31">
                  <c:v>1.165</c:v>
                </c:pt>
                <c:pt idx="32">
                  <c:v>1.165</c:v>
                </c:pt>
                <c:pt idx="33">
                  <c:v>1.165</c:v>
                </c:pt>
                <c:pt idx="34">
                  <c:v>1.165</c:v>
                </c:pt>
                <c:pt idx="35">
                  <c:v>1.165</c:v>
                </c:pt>
                <c:pt idx="36">
                  <c:v>1.165</c:v>
                </c:pt>
                <c:pt idx="37">
                  <c:v>1.165</c:v>
                </c:pt>
                <c:pt idx="38">
                  <c:v>1.165</c:v>
                </c:pt>
                <c:pt idx="39">
                  <c:v>1.165</c:v>
                </c:pt>
                <c:pt idx="40">
                  <c:v>1.165</c:v>
                </c:pt>
                <c:pt idx="41">
                  <c:v>1.165</c:v>
                </c:pt>
                <c:pt idx="42">
                  <c:v>1.165</c:v>
                </c:pt>
                <c:pt idx="43">
                  <c:v>1.165</c:v>
                </c:pt>
                <c:pt idx="44">
                  <c:v>1.165</c:v>
                </c:pt>
                <c:pt idx="45">
                  <c:v>1.165</c:v>
                </c:pt>
                <c:pt idx="46">
                  <c:v>1.165</c:v>
                </c:pt>
                <c:pt idx="47">
                  <c:v>1.165</c:v>
                </c:pt>
                <c:pt idx="48">
                  <c:v>1.165</c:v>
                </c:pt>
                <c:pt idx="49">
                  <c:v>1.165</c:v>
                </c:pt>
                <c:pt idx="50">
                  <c:v>1.165</c:v>
                </c:pt>
                <c:pt idx="51">
                  <c:v>1.165</c:v>
                </c:pt>
                <c:pt idx="52">
                  <c:v>1.165</c:v>
                </c:pt>
                <c:pt idx="53">
                  <c:v>1.165</c:v>
                </c:pt>
                <c:pt idx="54">
                  <c:v>1.165</c:v>
                </c:pt>
                <c:pt idx="55">
                  <c:v>1.165</c:v>
                </c:pt>
                <c:pt idx="56">
                  <c:v>1.165</c:v>
                </c:pt>
                <c:pt idx="57">
                  <c:v>1.165</c:v>
                </c:pt>
                <c:pt idx="58">
                  <c:v>1.165</c:v>
                </c:pt>
                <c:pt idx="59">
                  <c:v>1.165</c:v>
                </c:pt>
                <c:pt idx="60">
                  <c:v>1.165</c:v>
                </c:pt>
                <c:pt idx="61">
                  <c:v>1.165</c:v>
                </c:pt>
                <c:pt idx="62">
                  <c:v>1.165</c:v>
                </c:pt>
                <c:pt idx="63">
                  <c:v>1.165</c:v>
                </c:pt>
                <c:pt idx="64">
                  <c:v>1.165</c:v>
                </c:pt>
                <c:pt idx="65">
                  <c:v>1.165</c:v>
                </c:pt>
                <c:pt idx="66">
                  <c:v>1.165</c:v>
                </c:pt>
                <c:pt idx="67">
                  <c:v>1.165</c:v>
                </c:pt>
                <c:pt idx="68">
                  <c:v>1.165</c:v>
                </c:pt>
                <c:pt idx="69">
                  <c:v>1.165</c:v>
                </c:pt>
                <c:pt idx="70">
                  <c:v>1.165</c:v>
                </c:pt>
                <c:pt idx="71">
                  <c:v>1.165</c:v>
                </c:pt>
                <c:pt idx="72">
                  <c:v>1.165</c:v>
                </c:pt>
                <c:pt idx="73">
                  <c:v>1.165</c:v>
                </c:pt>
                <c:pt idx="74">
                  <c:v>1.165</c:v>
                </c:pt>
                <c:pt idx="75">
                  <c:v>1.165</c:v>
                </c:pt>
                <c:pt idx="76">
                  <c:v>1.165</c:v>
                </c:pt>
                <c:pt idx="77">
                  <c:v>1.165</c:v>
                </c:pt>
                <c:pt idx="78">
                  <c:v>1.165</c:v>
                </c:pt>
                <c:pt idx="79">
                  <c:v>1.165</c:v>
                </c:pt>
                <c:pt idx="80">
                  <c:v>1.165</c:v>
                </c:pt>
                <c:pt idx="81">
                  <c:v>1.165</c:v>
                </c:pt>
                <c:pt idx="82">
                  <c:v>1.165</c:v>
                </c:pt>
                <c:pt idx="83">
                  <c:v>1.165</c:v>
                </c:pt>
                <c:pt idx="84">
                  <c:v>1.165</c:v>
                </c:pt>
                <c:pt idx="85">
                  <c:v>1.165</c:v>
                </c:pt>
                <c:pt idx="86">
                  <c:v>1.165</c:v>
                </c:pt>
                <c:pt idx="87">
                  <c:v>1.165</c:v>
                </c:pt>
                <c:pt idx="88">
                  <c:v>1.165</c:v>
                </c:pt>
                <c:pt idx="89">
                  <c:v>1.165</c:v>
                </c:pt>
                <c:pt idx="90">
                  <c:v>1.165</c:v>
                </c:pt>
                <c:pt idx="91">
                  <c:v>1.165</c:v>
                </c:pt>
                <c:pt idx="92">
                  <c:v>1.165</c:v>
                </c:pt>
                <c:pt idx="93">
                  <c:v>1.165</c:v>
                </c:pt>
                <c:pt idx="94">
                  <c:v>1.165</c:v>
                </c:pt>
                <c:pt idx="95">
                  <c:v>1.165</c:v>
                </c:pt>
                <c:pt idx="96">
                  <c:v>1.165</c:v>
                </c:pt>
                <c:pt idx="97">
                  <c:v>1.165</c:v>
                </c:pt>
                <c:pt idx="98">
                  <c:v>1.165</c:v>
                </c:pt>
                <c:pt idx="99">
                  <c:v>1.165</c:v>
                </c:pt>
                <c:pt idx="100">
                  <c:v>1.165</c:v>
                </c:pt>
                <c:pt idx="101">
                  <c:v>1.165</c:v>
                </c:pt>
                <c:pt idx="102">
                  <c:v>1.165</c:v>
                </c:pt>
                <c:pt idx="103">
                  <c:v>1.165</c:v>
                </c:pt>
                <c:pt idx="104">
                  <c:v>1.165</c:v>
                </c:pt>
                <c:pt idx="105">
                  <c:v>1.165</c:v>
                </c:pt>
                <c:pt idx="106">
                  <c:v>1.165</c:v>
                </c:pt>
                <c:pt idx="107">
                  <c:v>1.165</c:v>
                </c:pt>
                <c:pt idx="108">
                  <c:v>1.165</c:v>
                </c:pt>
                <c:pt idx="109">
                  <c:v>1.165</c:v>
                </c:pt>
                <c:pt idx="110">
                  <c:v>1.165</c:v>
                </c:pt>
                <c:pt idx="111">
                  <c:v>1.165</c:v>
                </c:pt>
                <c:pt idx="112">
                  <c:v>1.165</c:v>
                </c:pt>
                <c:pt idx="113">
                  <c:v>1.165</c:v>
                </c:pt>
                <c:pt idx="114">
                  <c:v>1.165</c:v>
                </c:pt>
                <c:pt idx="115">
                  <c:v>1.165</c:v>
                </c:pt>
                <c:pt idx="116">
                  <c:v>1.165</c:v>
                </c:pt>
                <c:pt idx="117">
                  <c:v>1.165</c:v>
                </c:pt>
                <c:pt idx="118">
                  <c:v>1.165</c:v>
                </c:pt>
                <c:pt idx="119">
                  <c:v>1.165</c:v>
                </c:pt>
                <c:pt idx="120">
                  <c:v>1.165</c:v>
                </c:pt>
                <c:pt idx="121">
                  <c:v>1.165</c:v>
                </c:pt>
                <c:pt idx="122">
                  <c:v>1.165</c:v>
                </c:pt>
                <c:pt idx="123">
                  <c:v>1.165</c:v>
                </c:pt>
                <c:pt idx="124">
                  <c:v>1.165</c:v>
                </c:pt>
                <c:pt idx="125">
                  <c:v>1.165</c:v>
                </c:pt>
                <c:pt idx="126">
                  <c:v>1.165</c:v>
                </c:pt>
                <c:pt idx="127">
                  <c:v>1.165</c:v>
                </c:pt>
                <c:pt idx="128">
                  <c:v>1.165</c:v>
                </c:pt>
                <c:pt idx="129">
                  <c:v>1.165</c:v>
                </c:pt>
                <c:pt idx="130">
                  <c:v>1.165</c:v>
                </c:pt>
                <c:pt idx="131">
                  <c:v>1.165</c:v>
                </c:pt>
                <c:pt idx="132">
                  <c:v>1.165</c:v>
                </c:pt>
                <c:pt idx="133">
                  <c:v>1.165</c:v>
                </c:pt>
                <c:pt idx="134">
                  <c:v>1.165</c:v>
                </c:pt>
                <c:pt idx="135">
                  <c:v>1.165</c:v>
                </c:pt>
                <c:pt idx="136">
                  <c:v>1.165</c:v>
                </c:pt>
                <c:pt idx="137">
                  <c:v>1.165</c:v>
                </c:pt>
                <c:pt idx="138">
                  <c:v>1.165</c:v>
                </c:pt>
                <c:pt idx="139">
                  <c:v>1.165</c:v>
                </c:pt>
                <c:pt idx="140">
                  <c:v>1.165</c:v>
                </c:pt>
                <c:pt idx="141">
                  <c:v>1.165</c:v>
                </c:pt>
                <c:pt idx="142">
                  <c:v>1.165</c:v>
                </c:pt>
                <c:pt idx="143">
                  <c:v>1.165</c:v>
                </c:pt>
                <c:pt idx="144">
                  <c:v>1.165</c:v>
                </c:pt>
                <c:pt idx="145">
                  <c:v>1.165</c:v>
                </c:pt>
                <c:pt idx="146">
                  <c:v>1.165</c:v>
                </c:pt>
                <c:pt idx="147">
                  <c:v>1.165</c:v>
                </c:pt>
                <c:pt idx="148">
                  <c:v>1.165</c:v>
                </c:pt>
                <c:pt idx="149">
                  <c:v>1.165</c:v>
                </c:pt>
                <c:pt idx="150">
                  <c:v>1.165</c:v>
                </c:pt>
                <c:pt idx="151">
                  <c:v>1.165</c:v>
                </c:pt>
                <c:pt idx="152">
                  <c:v>1.165</c:v>
                </c:pt>
                <c:pt idx="153">
                  <c:v>1.165</c:v>
                </c:pt>
                <c:pt idx="154">
                  <c:v>1.165</c:v>
                </c:pt>
                <c:pt idx="155">
                  <c:v>1.165</c:v>
                </c:pt>
                <c:pt idx="156">
                  <c:v>1.165</c:v>
                </c:pt>
                <c:pt idx="157">
                  <c:v>1.165</c:v>
                </c:pt>
                <c:pt idx="158">
                  <c:v>1.165</c:v>
                </c:pt>
                <c:pt idx="159">
                  <c:v>1.165</c:v>
                </c:pt>
                <c:pt idx="160">
                  <c:v>1.165</c:v>
                </c:pt>
                <c:pt idx="161">
                  <c:v>1.165</c:v>
                </c:pt>
                <c:pt idx="162">
                  <c:v>1.165</c:v>
                </c:pt>
                <c:pt idx="163">
                  <c:v>1.165</c:v>
                </c:pt>
                <c:pt idx="164">
                  <c:v>1.165</c:v>
                </c:pt>
                <c:pt idx="165">
                  <c:v>1.165</c:v>
                </c:pt>
                <c:pt idx="166">
                  <c:v>1.165</c:v>
                </c:pt>
                <c:pt idx="167">
                  <c:v>1.165</c:v>
                </c:pt>
                <c:pt idx="168">
                  <c:v>1.165</c:v>
                </c:pt>
                <c:pt idx="169">
                  <c:v>1.165</c:v>
                </c:pt>
                <c:pt idx="170">
                  <c:v>1.165</c:v>
                </c:pt>
                <c:pt idx="171">
                  <c:v>1.165</c:v>
                </c:pt>
                <c:pt idx="172">
                  <c:v>1.165</c:v>
                </c:pt>
                <c:pt idx="173">
                  <c:v>1.165</c:v>
                </c:pt>
                <c:pt idx="174">
                  <c:v>1.165</c:v>
                </c:pt>
                <c:pt idx="175">
                  <c:v>1.165</c:v>
                </c:pt>
                <c:pt idx="176">
                  <c:v>1.165</c:v>
                </c:pt>
                <c:pt idx="177">
                  <c:v>1.165</c:v>
                </c:pt>
                <c:pt idx="178">
                  <c:v>1.165</c:v>
                </c:pt>
                <c:pt idx="179">
                  <c:v>1.165</c:v>
                </c:pt>
                <c:pt idx="180">
                  <c:v>1.165</c:v>
                </c:pt>
                <c:pt idx="181">
                  <c:v>1.165</c:v>
                </c:pt>
                <c:pt idx="182">
                  <c:v>1.165</c:v>
                </c:pt>
                <c:pt idx="183">
                  <c:v>1.165</c:v>
                </c:pt>
                <c:pt idx="184">
                  <c:v>1.165</c:v>
                </c:pt>
                <c:pt idx="185">
                  <c:v>1.165</c:v>
                </c:pt>
                <c:pt idx="186">
                  <c:v>1.165</c:v>
                </c:pt>
                <c:pt idx="187">
                  <c:v>1.165</c:v>
                </c:pt>
                <c:pt idx="188">
                  <c:v>1.165</c:v>
                </c:pt>
                <c:pt idx="189">
                  <c:v>1.165</c:v>
                </c:pt>
                <c:pt idx="190">
                  <c:v>1.165</c:v>
                </c:pt>
                <c:pt idx="191">
                  <c:v>1.165</c:v>
                </c:pt>
                <c:pt idx="192">
                  <c:v>1.165</c:v>
                </c:pt>
                <c:pt idx="193">
                  <c:v>1.165</c:v>
                </c:pt>
                <c:pt idx="194">
                  <c:v>1.165</c:v>
                </c:pt>
                <c:pt idx="195">
                  <c:v>1.165</c:v>
                </c:pt>
                <c:pt idx="196">
                  <c:v>1.165</c:v>
                </c:pt>
                <c:pt idx="197">
                  <c:v>1.165</c:v>
                </c:pt>
                <c:pt idx="198">
                  <c:v>1.165</c:v>
                </c:pt>
                <c:pt idx="199">
                  <c:v>1.165</c:v>
                </c:pt>
                <c:pt idx="200">
                  <c:v>1.165</c:v>
                </c:pt>
                <c:pt idx="201">
                  <c:v>1.165</c:v>
                </c:pt>
                <c:pt idx="202">
                  <c:v>1.165</c:v>
                </c:pt>
                <c:pt idx="203">
                  <c:v>1.165</c:v>
                </c:pt>
                <c:pt idx="204">
                  <c:v>1.165</c:v>
                </c:pt>
                <c:pt idx="205">
                  <c:v>1.165</c:v>
                </c:pt>
                <c:pt idx="206">
                  <c:v>1.165</c:v>
                </c:pt>
                <c:pt idx="207">
                  <c:v>1.165</c:v>
                </c:pt>
                <c:pt idx="208">
                  <c:v>1.165</c:v>
                </c:pt>
                <c:pt idx="209">
                  <c:v>1.165</c:v>
                </c:pt>
                <c:pt idx="210">
                  <c:v>1.165</c:v>
                </c:pt>
                <c:pt idx="211">
                  <c:v>1.165</c:v>
                </c:pt>
                <c:pt idx="212">
                  <c:v>1.165</c:v>
                </c:pt>
                <c:pt idx="213">
                  <c:v>1.165</c:v>
                </c:pt>
                <c:pt idx="214">
                  <c:v>1.165</c:v>
                </c:pt>
                <c:pt idx="215">
                  <c:v>1.165</c:v>
                </c:pt>
                <c:pt idx="216">
                  <c:v>1.165</c:v>
                </c:pt>
                <c:pt idx="217">
                  <c:v>1.165</c:v>
                </c:pt>
                <c:pt idx="218">
                  <c:v>1.165</c:v>
                </c:pt>
                <c:pt idx="219">
                  <c:v>1.165</c:v>
                </c:pt>
                <c:pt idx="220">
                  <c:v>1.165</c:v>
                </c:pt>
                <c:pt idx="221">
                  <c:v>1.165</c:v>
                </c:pt>
                <c:pt idx="222">
                  <c:v>1.165</c:v>
                </c:pt>
                <c:pt idx="223">
                  <c:v>1.165</c:v>
                </c:pt>
                <c:pt idx="224">
                  <c:v>1.165</c:v>
                </c:pt>
                <c:pt idx="225">
                  <c:v>1.165</c:v>
                </c:pt>
                <c:pt idx="226">
                  <c:v>1.165</c:v>
                </c:pt>
                <c:pt idx="227">
                  <c:v>1.165</c:v>
                </c:pt>
                <c:pt idx="228">
                  <c:v>1.165</c:v>
                </c:pt>
                <c:pt idx="229">
                  <c:v>1.165</c:v>
                </c:pt>
                <c:pt idx="230">
                  <c:v>1.165</c:v>
                </c:pt>
                <c:pt idx="231">
                  <c:v>1.165</c:v>
                </c:pt>
                <c:pt idx="232">
                  <c:v>1.165</c:v>
                </c:pt>
                <c:pt idx="233">
                  <c:v>1.165</c:v>
                </c:pt>
                <c:pt idx="234">
                  <c:v>1.165</c:v>
                </c:pt>
                <c:pt idx="235">
                  <c:v>1.165</c:v>
                </c:pt>
                <c:pt idx="236">
                  <c:v>1.165</c:v>
                </c:pt>
                <c:pt idx="237">
                  <c:v>1.165</c:v>
                </c:pt>
                <c:pt idx="238">
                  <c:v>1.165</c:v>
                </c:pt>
                <c:pt idx="239">
                  <c:v>1.165</c:v>
                </c:pt>
                <c:pt idx="240">
                  <c:v>1.165</c:v>
                </c:pt>
                <c:pt idx="241">
                  <c:v>1.165</c:v>
                </c:pt>
                <c:pt idx="242">
                  <c:v>1.165</c:v>
                </c:pt>
                <c:pt idx="243">
                  <c:v>1.165</c:v>
                </c:pt>
                <c:pt idx="244">
                  <c:v>1.165</c:v>
                </c:pt>
                <c:pt idx="245">
                  <c:v>1.165</c:v>
                </c:pt>
                <c:pt idx="246">
                  <c:v>1.165</c:v>
                </c:pt>
                <c:pt idx="247">
                  <c:v>1.165</c:v>
                </c:pt>
                <c:pt idx="248">
                  <c:v>1.165</c:v>
                </c:pt>
                <c:pt idx="249">
                  <c:v>1.165</c:v>
                </c:pt>
                <c:pt idx="250">
                  <c:v>1.165</c:v>
                </c:pt>
                <c:pt idx="251">
                  <c:v>1.165</c:v>
                </c:pt>
                <c:pt idx="252">
                  <c:v>1.165</c:v>
                </c:pt>
                <c:pt idx="253">
                  <c:v>1.165</c:v>
                </c:pt>
                <c:pt idx="254">
                  <c:v>1.165</c:v>
                </c:pt>
                <c:pt idx="255">
                  <c:v>1.165</c:v>
                </c:pt>
                <c:pt idx="256">
                  <c:v>1.165</c:v>
                </c:pt>
                <c:pt idx="257">
                  <c:v>1.165</c:v>
                </c:pt>
                <c:pt idx="258">
                  <c:v>1.165</c:v>
                </c:pt>
                <c:pt idx="259">
                  <c:v>1.165</c:v>
                </c:pt>
                <c:pt idx="260">
                  <c:v>1.165</c:v>
                </c:pt>
                <c:pt idx="261">
                  <c:v>1.165</c:v>
                </c:pt>
                <c:pt idx="262">
                  <c:v>1.165</c:v>
                </c:pt>
                <c:pt idx="263">
                  <c:v>1.165</c:v>
                </c:pt>
                <c:pt idx="264">
                  <c:v>1.165</c:v>
                </c:pt>
                <c:pt idx="265">
                  <c:v>1.165</c:v>
                </c:pt>
                <c:pt idx="266">
                  <c:v>1.165</c:v>
                </c:pt>
                <c:pt idx="267">
                  <c:v>1.165</c:v>
                </c:pt>
                <c:pt idx="268">
                  <c:v>1.165</c:v>
                </c:pt>
                <c:pt idx="269">
                  <c:v>1.165</c:v>
                </c:pt>
                <c:pt idx="270">
                  <c:v>1.165</c:v>
                </c:pt>
                <c:pt idx="271">
                  <c:v>1.165</c:v>
                </c:pt>
                <c:pt idx="272">
                  <c:v>1.165</c:v>
                </c:pt>
                <c:pt idx="273">
                  <c:v>1.165</c:v>
                </c:pt>
                <c:pt idx="274">
                  <c:v>1.165</c:v>
                </c:pt>
                <c:pt idx="275">
                  <c:v>1.165</c:v>
                </c:pt>
                <c:pt idx="276">
                  <c:v>1.165</c:v>
                </c:pt>
                <c:pt idx="277">
                  <c:v>1.165</c:v>
                </c:pt>
                <c:pt idx="278">
                  <c:v>1.165</c:v>
                </c:pt>
                <c:pt idx="279">
                  <c:v>1.165</c:v>
                </c:pt>
                <c:pt idx="280">
                  <c:v>1.165</c:v>
                </c:pt>
                <c:pt idx="281">
                  <c:v>1.165</c:v>
                </c:pt>
                <c:pt idx="282">
                  <c:v>1.165</c:v>
                </c:pt>
                <c:pt idx="283">
                  <c:v>1.165</c:v>
                </c:pt>
                <c:pt idx="284">
                  <c:v>1.165</c:v>
                </c:pt>
                <c:pt idx="285">
                  <c:v>1.165</c:v>
                </c:pt>
                <c:pt idx="286">
                  <c:v>1.165</c:v>
                </c:pt>
                <c:pt idx="287">
                  <c:v>1.165</c:v>
                </c:pt>
                <c:pt idx="288">
                  <c:v>1.165</c:v>
                </c:pt>
                <c:pt idx="289">
                  <c:v>1.165</c:v>
                </c:pt>
                <c:pt idx="290">
                  <c:v>1.165</c:v>
                </c:pt>
                <c:pt idx="291">
                  <c:v>1.165</c:v>
                </c:pt>
                <c:pt idx="292">
                  <c:v>1.165</c:v>
                </c:pt>
                <c:pt idx="293">
                  <c:v>1.165</c:v>
                </c:pt>
                <c:pt idx="294">
                  <c:v>1.165</c:v>
                </c:pt>
                <c:pt idx="295">
                  <c:v>1.165</c:v>
                </c:pt>
                <c:pt idx="296">
                  <c:v>1.165</c:v>
                </c:pt>
                <c:pt idx="297">
                  <c:v>1.165</c:v>
                </c:pt>
                <c:pt idx="298">
                  <c:v>1.165</c:v>
                </c:pt>
                <c:pt idx="299">
                  <c:v>1.165</c:v>
                </c:pt>
                <c:pt idx="300">
                  <c:v>1.165</c:v>
                </c:pt>
                <c:pt idx="301">
                  <c:v>1.165</c:v>
                </c:pt>
                <c:pt idx="302">
                  <c:v>1.165</c:v>
                </c:pt>
                <c:pt idx="303">
                  <c:v>1.165</c:v>
                </c:pt>
                <c:pt idx="304">
                  <c:v>1.165</c:v>
                </c:pt>
                <c:pt idx="305">
                  <c:v>1.165</c:v>
                </c:pt>
                <c:pt idx="306">
                  <c:v>1.165</c:v>
                </c:pt>
                <c:pt idx="307">
                  <c:v>1.165</c:v>
                </c:pt>
                <c:pt idx="308">
                  <c:v>1.165</c:v>
                </c:pt>
                <c:pt idx="309">
                  <c:v>1.165</c:v>
                </c:pt>
                <c:pt idx="310">
                  <c:v>1.165</c:v>
                </c:pt>
                <c:pt idx="311">
                  <c:v>1.165</c:v>
                </c:pt>
                <c:pt idx="312">
                  <c:v>1.165</c:v>
                </c:pt>
                <c:pt idx="313">
                  <c:v>1.165</c:v>
                </c:pt>
                <c:pt idx="314">
                  <c:v>1.165</c:v>
                </c:pt>
                <c:pt idx="315">
                  <c:v>1.165</c:v>
                </c:pt>
                <c:pt idx="316">
                  <c:v>1.165</c:v>
                </c:pt>
                <c:pt idx="317">
                  <c:v>1.165</c:v>
                </c:pt>
                <c:pt idx="318">
                  <c:v>1.165</c:v>
                </c:pt>
                <c:pt idx="319">
                  <c:v>1.165</c:v>
                </c:pt>
                <c:pt idx="320">
                  <c:v>1.165</c:v>
                </c:pt>
                <c:pt idx="321">
                  <c:v>1.165</c:v>
                </c:pt>
                <c:pt idx="322">
                  <c:v>1.165</c:v>
                </c:pt>
                <c:pt idx="323">
                  <c:v>1.165</c:v>
                </c:pt>
                <c:pt idx="324">
                  <c:v>1.165</c:v>
                </c:pt>
                <c:pt idx="325">
                  <c:v>1.165</c:v>
                </c:pt>
                <c:pt idx="326">
                  <c:v>1.165</c:v>
                </c:pt>
                <c:pt idx="327">
                  <c:v>1.165</c:v>
                </c:pt>
                <c:pt idx="328">
                  <c:v>1.165</c:v>
                </c:pt>
                <c:pt idx="329">
                  <c:v>1.165</c:v>
                </c:pt>
                <c:pt idx="330">
                  <c:v>1.165</c:v>
                </c:pt>
                <c:pt idx="331">
                  <c:v>1.165</c:v>
                </c:pt>
                <c:pt idx="332">
                  <c:v>1.165</c:v>
                </c:pt>
                <c:pt idx="333">
                  <c:v>1.165</c:v>
                </c:pt>
                <c:pt idx="334">
                  <c:v>1.165</c:v>
                </c:pt>
                <c:pt idx="335">
                  <c:v>1.165</c:v>
                </c:pt>
                <c:pt idx="336">
                  <c:v>1.165</c:v>
                </c:pt>
                <c:pt idx="337">
                  <c:v>1.165</c:v>
                </c:pt>
                <c:pt idx="338">
                  <c:v>1.165</c:v>
                </c:pt>
                <c:pt idx="339">
                  <c:v>1.165</c:v>
                </c:pt>
                <c:pt idx="340">
                  <c:v>1.165</c:v>
                </c:pt>
                <c:pt idx="341">
                  <c:v>1.165</c:v>
                </c:pt>
                <c:pt idx="342">
                  <c:v>1.165</c:v>
                </c:pt>
                <c:pt idx="343">
                  <c:v>1.165</c:v>
                </c:pt>
                <c:pt idx="344">
                  <c:v>1.165</c:v>
                </c:pt>
                <c:pt idx="345">
                  <c:v>1.165</c:v>
                </c:pt>
                <c:pt idx="346">
                  <c:v>1.165</c:v>
                </c:pt>
                <c:pt idx="347">
                  <c:v>1.165</c:v>
                </c:pt>
                <c:pt idx="348">
                  <c:v>1.165</c:v>
                </c:pt>
                <c:pt idx="349">
                  <c:v>1.165</c:v>
                </c:pt>
                <c:pt idx="350">
                  <c:v>1.165</c:v>
                </c:pt>
                <c:pt idx="351">
                  <c:v>1.165</c:v>
                </c:pt>
                <c:pt idx="352">
                  <c:v>1.165</c:v>
                </c:pt>
                <c:pt idx="353">
                  <c:v>1.165</c:v>
                </c:pt>
                <c:pt idx="354">
                  <c:v>1.165</c:v>
                </c:pt>
                <c:pt idx="355">
                  <c:v>1.165</c:v>
                </c:pt>
                <c:pt idx="356">
                  <c:v>1.165</c:v>
                </c:pt>
                <c:pt idx="357">
                  <c:v>1.165</c:v>
                </c:pt>
                <c:pt idx="358">
                  <c:v>1.165</c:v>
                </c:pt>
                <c:pt idx="359">
                  <c:v>1.165</c:v>
                </c:pt>
                <c:pt idx="360">
                  <c:v>1.165</c:v>
                </c:pt>
              </c:numCache>
            </c:numRef>
          </c:yVal>
          <c:smooth val="1"/>
        </c:ser>
        <c:axId val="92824684"/>
        <c:axId val="11422109"/>
      </c:scatterChart>
      <c:valAx>
        <c:axId val="9282468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Radius Check (flat = correct)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422109"/>
        <c:crosses val="autoZero"/>
        <c:crossBetween val="midCat"/>
      </c:valAx>
      <c:valAx>
        <c:axId val="114221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82468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10</xdr:col>
      <xdr:colOff>364320</xdr:colOff>
      <xdr:row>37</xdr:row>
      <xdr:rowOff>2520</xdr:rowOff>
    </xdr:to>
    <xdr:graphicFrame>
      <xdr:nvGraphicFramePr>
        <xdr:cNvPr id="0" name="Chart 1"/>
        <xdr:cNvGraphicFramePr/>
      </xdr:nvGraphicFramePr>
      <xdr:xfrm>
        <a:off x="0" y="571680"/>
        <a:ext cx="6479280" cy="64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14</xdr:col>
      <xdr:colOff>78120</xdr:colOff>
      <xdr:row>29</xdr:row>
      <xdr:rowOff>86400</xdr:rowOff>
    </xdr:to>
    <xdr:graphicFrame>
      <xdr:nvGraphicFramePr>
        <xdr:cNvPr id="1" name="Chart 1"/>
        <xdr:cNvGraphicFramePr/>
      </xdr:nvGraphicFramePr>
      <xdr:xfrm>
        <a:off x="0" y="571680"/>
        <a:ext cx="8639280" cy="50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14</xdr:col>
      <xdr:colOff>78120</xdr:colOff>
      <xdr:row>29</xdr:row>
      <xdr:rowOff>86400</xdr:rowOff>
    </xdr:to>
    <xdr:graphicFrame>
      <xdr:nvGraphicFramePr>
        <xdr:cNvPr id="2" name="Chart 1"/>
        <xdr:cNvGraphicFramePr/>
      </xdr:nvGraphicFramePr>
      <xdr:xfrm>
        <a:off x="0" y="571680"/>
        <a:ext cx="8639280" cy="50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14</xdr:col>
      <xdr:colOff>78120</xdr:colOff>
      <xdr:row>29</xdr:row>
      <xdr:rowOff>86400</xdr:rowOff>
    </xdr:to>
    <xdr:graphicFrame>
      <xdr:nvGraphicFramePr>
        <xdr:cNvPr id="3" name="Chart 1"/>
        <xdr:cNvGraphicFramePr/>
      </xdr:nvGraphicFramePr>
      <xdr:xfrm>
        <a:off x="0" y="571680"/>
        <a:ext cx="8639280" cy="50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14</xdr:col>
      <xdr:colOff>78120</xdr:colOff>
      <xdr:row>29</xdr:row>
      <xdr:rowOff>86400</xdr:rowOff>
    </xdr:to>
    <xdr:graphicFrame>
      <xdr:nvGraphicFramePr>
        <xdr:cNvPr id="4" name="Chart 1"/>
        <xdr:cNvGraphicFramePr/>
      </xdr:nvGraphicFramePr>
      <xdr:xfrm>
        <a:off x="0" y="571680"/>
        <a:ext cx="8639280" cy="50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3" min="2" style="1" width="18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</row>
    <row r="5" customFormat="false" ht="15" hidden="false" customHeight="false" outlineLevel="0" collapsed="false">
      <c r="A5" s="5" t="s">
        <v>5</v>
      </c>
      <c r="B5" s="6" t="n">
        <v>1.165</v>
      </c>
      <c r="C5" s="5" t="s">
        <v>6</v>
      </c>
    </row>
    <row r="6" customFormat="false" ht="15" hidden="false" customHeight="false" outlineLevel="0" collapsed="false">
      <c r="A6" s="5" t="s">
        <v>7</v>
      </c>
      <c r="B6" s="6" t="n">
        <v>5.197</v>
      </c>
      <c r="C6" s="5" t="s">
        <v>6</v>
      </c>
    </row>
    <row r="7" customFormat="false" ht="15" hidden="false" customHeight="false" outlineLevel="0" collapsed="false">
      <c r="A7" s="5" t="s">
        <v>8</v>
      </c>
      <c r="B7" s="7" t="n">
        <v>1</v>
      </c>
      <c r="C7" s="5"/>
    </row>
    <row r="8" customFormat="false" ht="15" hidden="false" customHeight="false" outlineLevel="0" collapsed="false">
      <c r="A8" s="5" t="s">
        <v>9</v>
      </c>
      <c r="B8" s="6" t="n">
        <v>0</v>
      </c>
      <c r="C8" s="5" t="s">
        <v>6</v>
      </c>
    </row>
    <row r="9" customFormat="false" ht="15" hidden="false" customHeight="false" outlineLevel="0" collapsed="false">
      <c r="A9" s="5" t="s">
        <v>10</v>
      </c>
      <c r="B9" s="6" t="n">
        <v>0</v>
      </c>
      <c r="C9" s="5" t="s">
        <v>6</v>
      </c>
    </row>
    <row r="10" customFormat="false" ht="15" hidden="false" customHeight="false" outlineLevel="0" collapsed="false">
      <c r="A10" s="5" t="s">
        <v>11</v>
      </c>
      <c r="B10" s="8" t="n">
        <v>1</v>
      </c>
      <c r="C10" s="5" t="s">
        <v>12</v>
      </c>
    </row>
    <row r="11" customFormat="false" ht="15" hidden="false" customHeight="false" outlineLevel="0" collapsed="false">
      <c r="A11" s="5" t="s">
        <v>13</v>
      </c>
      <c r="B11" s="6" t="n">
        <v>1</v>
      </c>
      <c r="C11" s="5" t="s">
        <v>6</v>
      </c>
    </row>
    <row r="12" customFormat="false" ht="15" hidden="false" customHeight="false" outlineLevel="0" collapsed="false">
      <c r="A12" s="5" t="s">
        <v>14</v>
      </c>
      <c r="B12" s="7" t="n">
        <v>1200</v>
      </c>
      <c r="C12" s="5" t="s">
        <v>15</v>
      </c>
    </row>
    <row r="13" customFormat="false" ht="15" hidden="false" customHeight="false" outlineLevel="0" collapsed="false">
      <c r="A13" s="5" t="s">
        <v>16</v>
      </c>
      <c r="B13" s="8" t="n">
        <v>8</v>
      </c>
      <c r="C13" s="5" t="s">
        <v>17</v>
      </c>
    </row>
    <row r="14" customFormat="false" ht="15" hidden="false" customHeight="false" outlineLevel="0" collapsed="false">
      <c r="A14" s="5" t="s">
        <v>18</v>
      </c>
      <c r="B14" s="7" t="n">
        <v>1</v>
      </c>
      <c r="C14" s="5"/>
    </row>
    <row r="16" customFormat="false" ht="15" hidden="false" customHeight="false" outlineLevel="0" collapsed="false">
      <c r="A16" s="9" t="s">
        <v>19</v>
      </c>
    </row>
    <row r="17" customFormat="false" ht="15" hidden="false" customHeight="false" outlineLevel="0" collapsed="false">
      <c r="A17" s="5" t="s">
        <v>20</v>
      </c>
      <c r="B17" s="10" t="n">
        <f aca="false">2*B5</f>
        <v>2.33</v>
      </c>
      <c r="C17" s="5" t="s">
        <v>6</v>
      </c>
    </row>
    <row r="18" customFormat="false" ht="15" hidden="false" customHeight="false" outlineLevel="0" collapsed="false">
      <c r="A18" s="5" t="s">
        <v>21</v>
      </c>
      <c r="B18" s="10" t="n">
        <f aca="false">DEGREES(ASIN(B5/B6))</f>
        <v>12.9539460056958</v>
      </c>
      <c r="C18" s="5" t="s">
        <v>12</v>
      </c>
    </row>
    <row r="19" customFormat="false" ht="15" hidden="false" customHeight="false" outlineLevel="0" collapsed="false">
      <c r="A19" s="5" t="s">
        <v>22</v>
      </c>
      <c r="B19" s="10" t="n">
        <f aca="false">DEGREES(ASIN(B5/B6))</f>
        <v>12.9539460056958</v>
      </c>
      <c r="C19" s="5" t="s">
        <v>12</v>
      </c>
    </row>
    <row r="20" customFormat="false" ht="15" hidden="false" customHeight="false" outlineLevel="0" collapsed="false">
      <c r="A20" s="5" t="s">
        <v>23</v>
      </c>
      <c r="B20" s="10" t="n">
        <f aca="false">-B6*(1-COS(RADIANS(DEGREES(ASIN(B5/B6)))))</f>
        <v>-0.132260717470247</v>
      </c>
      <c r="C20" s="5" t="s">
        <v>6</v>
      </c>
    </row>
    <row r="21" customFormat="false" ht="15" hidden="false" customHeight="false" outlineLevel="0" collapsed="false">
      <c r="A21" s="5" t="s">
        <v>24</v>
      </c>
      <c r="B21" s="10" t="n">
        <f aca="false">ABS(2*B6*(1-COS(RADIANS(DEGREES(ASIN(B5/B6))))))</f>
        <v>0.264521434940494</v>
      </c>
      <c r="C21" s="5" t="s">
        <v>6</v>
      </c>
    </row>
    <row r="22" customFormat="false" ht="15" hidden="false" customHeight="false" outlineLevel="0" collapsed="false">
      <c r="A22" s="5" t="s">
        <v>25</v>
      </c>
      <c r="B22" s="11" t="n">
        <f aca="false">360/B10</f>
        <v>360</v>
      </c>
      <c r="C22" s="5" t="s">
        <v>26</v>
      </c>
    </row>
    <row r="24" customFormat="false" ht="15" hidden="false" customHeight="false" outlineLevel="0" collapsed="false">
      <c r="A24" s="3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1" width="12"/>
    <col collapsed="false" customWidth="true" hidden="false" outlineLevel="0" max="8" min="8" style="1" width="14"/>
  </cols>
  <sheetData>
    <row r="1" customFormat="false" ht="15" hidden="false" customHeight="false" outlineLevel="0" collapsed="false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</row>
    <row r="2" customFormat="false" ht="15" hidden="false" customHeight="false" outlineLevel="0" collapsed="false">
      <c r="A2" s="12" t="n">
        <f aca="false">0*Inputs!$B$10*Inputs!$B$7</f>
        <v>0</v>
      </c>
      <c r="B2" s="12" t="n">
        <f aca="false">0*Inputs!$B$10</f>
        <v>0</v>
      </c>
      <c r="C2" s="12" t="n">
        <f aca="false">DEGREES(ASIN(MIN(MAX(Inputs!$B$5/Inputs!$B$6*SIN(RADIANS(A2)),-1),1)))</f>
        <v>0</v>
      </c>
      <c r="D2" s="12" t="n">
        <f aca="false">Inputs!$B$8+Inputs!$B$5*COS(RADIANS(A2))</f>
        <v>1.165</v>
      </c>
      <c r="E2" s="12" t="n">
        <f aca="false">Inputs!$B$9+Inputs!$B$5*SIN(RADIANS(A2))</f>
        <v>0</v>
      </c>
      <c r="F2" s="12" t="n">
        <f aca="false">-Inputs!$B$6*(1-COS(RADIANS(C2)))</f>
        <v>-0</v>
      </c>
      <c r="G2" s="12" t="n">
        <f aca="false">C2*Inputs!$B$7</f>
        <v>0</v>
      </c>
      <c r="H2" s="12" t="n">
        <f aca="false">SQRT(D2^2+E2^2)</f>
        <v>1.165</v>
      </c>
    </row>
    <row r="3" customFormat="false" ht="15" hidden="false" customHeight="false" outlineLevel="0" collapsed="false">
      <c r="A3" s="12" t="n">
        <f aca="false">1*Inputs!$B$10*Inputs!$B$7</f>
        <v>1</v>
      </c>
      <c r="B3" s="12" t="n">
        <f aca="false">1*Inputs!$B$10</f>
        <v>1</v>
      </c>
      <c r="C3" s="12" t="n">
        <f aca="false">DEGREES(ASIN(MIN(MAX(Inputs!$B$5/Inputs!$B$6*SIN(RADIANS(A3)),-1),1)))</f>
        <v>0.224156980200995</v>
      </c>
      <c r="D3" s="12" t="n">
        <f aca="false">Inputs!$B$8+Inputs!$B$5*COS(RADIANS(A3))</f>
        <v>1.1648225648572</v>
      </c>
      <c r="E3" s="12" t="n">
        <f aca="false">Inputs!$B$9+Inputs!$B$5*SIN(RADIANS(A3))</f>
        <v>0.0203320534994353</v>
      </c>
      <c r="F3" s="12" t="n">
        <f aca="false">-Inputs!$B$6*(1-COS(RADIANS(C3)))</f>
        <v>-3.97723668797299E-005</v>
      </c>
      <c r="G3" s="12" t="n">
        <f aca="false">C3*Inputs!$B$7</f>
        <v>0.224156980200995</v>
      </c>
      <c r="H3" s="12" t="n">
        <f aca="false">SQRT(D3^2+E3^2)</f>
        <v>1.165</v>
      </c>
    </row>
    <row r="4" customFormat="false" ht="15" hidden="false" customHeight="false" outlineLevel="0" collapsed="false">
      <c r="A4" s="12" t="n">
        <f aca="false">2*Inputs!$B$10*Inputs!$B$7</f>
        <v>2</v>
      </c>
      <c r="B4" s="12" t="n">
        <f aca="false">2*Inputs!$B$10</f>
        <v>2</v>
      </c>
      <c r="C4" s="12" t="n">
        <f aca="false">DEGREES(ASIN(MIN(MAX(Inputs!$B$5/Inputs!$B$6*SIN(RADIANS(A4)),-1),1)))</f>
        <v>0.448249109117967</v>
      </c>
      <c r="D4" s="12" t="n">
        <f aca="false">Inputs!$B$8+Inputs!$B$5*COS(RADIANS(A4))</f>
        <v>1.16429031347725</v>
      </c>
      <c r="E4" s="12" t="n">
        <f aca="false">Inputs!$B$9+Inputs!$B$5*SIN(RADIANS(A4))</f>
        <v>0.0406579136584136</v>
      </c>
      <c r="F4" s="12" t="n">
        <f aca="false">-Inputs!$B$6*(1-COS(RADIANS(C4)))</f>
        <v>-0.000159042836028185</v>
      </c>
      <c r="G4" s="12" t="n">
        <f aca="false">C4*Inputs!$B$7</f>
        <v>0.448249109117967</v>
      </c>
      <c r="H4" s="12" t="n">
        <f aca="false">SQRT(D4^2+E4^2)</f>
        <v>1.165</v>
      </c>
    </row>
    <row r="5" customFormat="false" ht="15" hidden="false" customHeight="false" outlineLevel="0" collapsed="false">
      <c r="A5" s="12" t="n">
        <f aca="false">3*Inputs!$B$10*Inputs!$B$7</f>
        <v>3</v>
      </c>
      <c r="B5" s="12" t="n">
        <f aca="false">3*Inputs!$B$10</f>
        <v>3</v>
      </c>
      <c r="C5" s="12" t="n">
        <f aca="false">DEGREES(ASIN(MIN(MAX(Inputs!$B$5/Inputs!$B$6*SIN(RADIANS(A5)),-1),1)))</f>
        <v>0.672211546293764</v>
      </c>
      <c r="D5" s="12" t="n">
        <f aca="false">Inputs!$B$8+Inputs!$B$5*COS(RADIANS(A5))</f>
        <v>1.16340340798908</v>
      </c>
      <c r="E5" s="12" t="n">
        <f aca="false">Inputs!$B$9+Inputs!$B$5*SIN(RADIANS(A5))</f>
        <v>0.0609713890230296</v>
      </c>
      <c r="F5" s="12" t="n">
        <f aca="false">-Inputs!$B$6*(1-COS(RADIANS(C5)))</f>
        <v>-0.000357671561318559</v>
      </c>
      <c r="G5" s="12" t="n">
        <f aca="false">C5*Inputs!$B$7</f>
        <v>0.672211546293764</v>
      </c>
      <c r="H5" s="12" t="n">
        <f aca="false">SQRT(D5^2+E5^2)</f>
        <v>1.165</v>
      </c>
    </row>
    <row r="6" customFormat="false" ht="15" hidden="false" customHeight="false" outlineLevel="0" collapsed="false">
      <c r="A6" s="12" t="n">
        <f aca="false">4*Inputs!$B$10*Inputs!$B$7</f>
        <v>4</v>
      </c>
      <c r="B6" s="12" t="n">
        <f aca="false">4*Inputs!$B$10</f>
        <v>4</v>
      </c>
      <c r="C6" s="12" t="n">
        <f aca="false">DEGREES(ASIN(MIN(MAX(Inputs!$B$5/Inputs!$B$6*SIN(RADIANS(A6)),-1),1)))</f>
        <v>0.895979472942739</v>
      </c>
      <c r="D6" s="12" t="n">
        <f aca="false">Inputs!$B$8+Inputs!$B$5*COS(RADIANS(A6))</f>
        <v>1.1621621185527</v>
      </c>
      <c r="E6" s="12" t="n">
        <f aca="false">Inputs!$B$9+Inputs!$B$5*SIN(RADIANS(A6))</f>
        <v>0.081266291911906</v>
      </c>
      <c r="F6" s="12" t="n">
        <f aca="false">-Inputs!$B$6*(1-COS(RADIANS(C6)))</f>
        <v>-0.000635425626980894</v>
      </c>
      <c r="G6" s="12" t="n">
        <f aca="false">C6*Inputs!$B$7</f>
        <v>0.895979472942739</v>
      </c>
      <c r="H6" s="12" t="n">
        <f aca="false">SQRT(D6^2+E6^2)</f>
        <v>1.165</v>
      </c>
    </row>
    <row r="7" customFormat="false" ht="15" hidden="false" customHeight="false" outlineLevel="0" collapsed="false">
      <c r="A7" s="12" t="n">
        <f aca="false">5*Inputs!$B$10*Inputs!$B$7</f>
        <v>5</v>
      </c>
      <c r="B7" s="12" t="n">
        <f aca="false">5*Inputs!$B$10</f>
        <v>5</v>
      </c>
      <c r="C7" s="12" t="n">
        <f aca="false">DEGREES(ASIN(MIN(MAX(Inputs!$B$5/Inputs!$B$6*SIN(RADIANS(A7)),-1),1)))</f>
        <v>1.11948810283088</v>
      </c>
      <c r="D7" s="12" t="n">
        <f aca="false">Inputs!$B$8+Inputs!$B$5*COS(RADIANS(A7))</f>
        <v>1.16056682327688</v>
      </c>
      <c r="E7" s="12" t="n">
        <f aca="false">Inputs!$B$9+Inputs!$B$5*SIN(RADIANS(A7))</f>
        <v>0.101536440301022</v>
      </c>
      <c r="F7" s="12" t="n">
        <f aca="false">-Inputs!$B$6*(1-COS(RADIANS(C7)))</f>
        <v>-0.000991979289196938</v>
      </c>
      <c r="G7" s="12" t="n">
        <f aca="false">C7*Inputs!$B$7</f>
        <v>1.11948810283088</v>
      </c>
      <c r="H7" s="12" t="n">
        <f aca="false">SQRT(D7^2+E7^2)</f>
        <v>1.165</v>
      </c>
    </row>
    <row r="8" customFormat="false" ht="15" hidden="false" customHeight="false" outlineLevel="0" collapsed="false">
      <c r="A8" s="12" t="n">
        <f aca="false">6*Inputs!$B$10*Inputs!$B$7</f>
        <v>6</v>
      </c>
      <c r="B8" s="12" t="n">
        <f aca="false">6*Inputs!$B$10</f>
        <v>6</v>
      </c>
      <c r="C8" s="12" t="n">
        <f aca="false">DEGREES(ASIN(MIN(MAX(Inputs!$B$5/Inputs!$B$6*SIN(RADIANS(A8)),-1),1)))</f>
        <v>1.34267269320903</v>
      </c>
      <c r="D8" s="12" t="n">
        <f aca="false">Inputs!$B$8+Inputs!$B$5*COS(RADIANS(A8))</f>
        <v>1.15861800810404</v>
      </c>
      <c r="E8" s="12" t="n">
        <f aca="false">Inputs!$B$9+Inputs!$B$5*SIN(RADIANS(A8))</f>
        <v>0.121775659706816</v>
      </c>
      <c r="F8" s="12" t="n">
        <f aca="false">-Inputs!$B$6*(1-COS(RADIANS(C8)))</f>
        <v>-0.00142691431417059</v>
      </c>
      <c r="G8" s="12" t="n">
        <f aca="false">C8*Inputs!$B$7</f>
        <v>1.34267269320903</v>
      </c>
      <c r="H8" s="12" t="n">
        <f aca="false">SQRT(D8^2+E8^2)</f>
        <v>1.165</v>
      </c>
    </row>
    <row r="9" customFormat="false" ht="15" hidden="false" customHeight="false" outlineLevel="0" collapsed="false">
      <c r="A9" s="12" t="n">
        <f aca="false">7*Inputs!$B$10*Inputs!$B$7</f>
        <v>7</v>
      </c>
      <c r="B9" s="12" t="n">
        <f aca="false">7*Inputs!$B$10</f>
        <v>7</v>
      </c>
      <c r="C9" s="12" t="n">
        <f aca="false">DEGREES(ASIN(MIN(MAX(Inputs!$B$5/Inputs!$B$6*SIN(RADIANS(A9)),-1),1)))</f>
        <v>1.56546855581686</v>
      </c>
      <c r="D9" s="12" t="n">
        <f aca="false">Inputs!$B$8+Inputs!$B$5*COS(RADIANS(A9))</f>
        <v>1.15631626666214</v>
      </c>
      <c r="E9" s="12" t="n">
        <f aca="false">Inputs!$B$9+Inputs!$B$5*SIN(RADIANS(A9))</f>
        <v>0.141977785066997</v>
      </c>
      <c r="F9" s="12" t="n">
        <f aca="false">-Inputs!$B$6*(1-COS(RADIANS(C9)))</f>
        <v>-0.00193972041252736</v>
      </c>
      <c r="G9" s="12" t="n">
        <f aca="false">C9*Inputs!$B$7</f>
        <v>1.56546855581686</v>
      </c>
      <c r="H9" s="12" t="n">
        <f aca="false">SQRT(D9^2+E9^2)</f>
        <v>1.165</v>
      </c>
    </row>
    <row r="10" customFormat="false" ht="15" hidden="false" customHeight="false" outlineLevel="0" collapsed="false">
      <c r="A10" s="12" t="n">
        <f aca="false">8*Inputs!$B$10*Inputs!$B$7</f>
        <v>8</v>
      </c>
      <c r="B10" s="12" t="n">
        <f aca="false">8*Inputs!$B$10</f>
        <v>8</v>
      </c>
      <c r="C10" s="12" t="n">
        <f aca="false">DEGREES(ASIN(MIN(MAX(Inputs!$B$5/Inputs!$B$6*SIN(RADIANS(A10)),-1),1)))</f>
        <v>1.7878110679747</v>
      </c>
      <c r="D10" s="12" t="n">
        <f aca="false">Inputs!$B$8+Inputs!$B$5*COS(RADIANS(A10))</f>
        <v>1.15366230008393</v>
      </c>
      <c r="E10" s="12" t="n">
        <f aca="false">Inputs!$B$9+Inputs!$B$5*SIN(RADIANS(A10))</f>
        <v>0.162136662618476</v>
      </c>
      <c r="F10" s="12" t="n">
        <f aca="false">-Inputs!$B$6*(1-COS(RADIANS(C10)))</f>
        <v>-0.00252979576983803</v>
      </c>
      <c r="G10" s="12" t="n">
        <f aca="false">C10*Inputs!$B$7</f>
        <v>1.7878110679747</v>
      </c>
      <c r="H10" s="12" t="n">
        <f aca="false">SQRT(D10^2+E10^2)</f>
        <v>1.165</v>
      </c>
    </row>
    <row r="11" customFormat="false" ht="15" hidden="false" customHeight="false" outlineLevel="0" collapsed="false">
      <c r="A11" s="12" t="n">
        <f aca="false">9*Inputs!$B$10*Inputs!$B$7</f>
        <v>9</v>
      </c>
      <c r="B11" s="12" t="n">
        <f aca="false">9*Inputs!$B$10</f>
        <v>9</v>
      </c>
      <c r="C11" s="12" t="n">
        <f aca="false">DEGREES(ASIN(MIN(MAX(Inputs!$B$5/Inputs!$B$6*SIN(RADIANS(A11)),-1),1)))</f>
        <v>2.00963568378074</v>
      </c>
      <c r="D11" s="12" t="n">
        <f aca="false">Inputs!$B$8+Inputs!$B$5*COS(RADIANS(A11))</f>
        <v>1.15065691679334</v>
      </c>
      <c r="E11" s="12" t="n">
        <f aca="false">Inputs!$B$9+Inputs!$B$5*SIN(RADIANS(A11))</f>
        <v>0.182246151771869</v>
      </c>
      <c r="F11" s="12" t="n">
        <f aca="false">-Inputs!$B$6*(1-COS(RADIANS(C11)))</f>
        <v>-0.00319644767302133</v>
      </c>
      <c r="G11" s="12" t="n">
        <f aca="false">C11*Inputs!$B$7</f>
        <v>2.00963568378074</v>
      </c>
      <c r="H11" s="12" t="n">
        <f aca="false">SQRT(D11^2+E11^2)</f>
        <v>1.165</v>
      </c>
    </row>
    <row r="12" customFormat="false" ht="15" hidden="false" customHeight="false" outlineLevel="0" collapsed="false">
      <c r="A12" s="12" t="n">
        <f aca="false">10*Inputs!$B$10*Inputs!$B$7</f>
        <v>10</v>
      </c>
      <c r="B12" s="12" t="n">
        <f aca="false">10*Inputs!$B$10</f>
        <v>10</v>
      </c>
      <c r="C12" s="12" t="n">
        <f aca="false">DEGREES(ASIN(MIN(MAX(Inputs!$B$5/Inputs!$B$6*SIN(RADIANS(A12)),-1),1)))</f>
        <v>2.23087794543018</v>
      </c>
      <c r="D12" s="12" t="n">
        <f aca="false">Inputs!$B$8+Inputs!$B$5*COS(RADIANS(A12))</f>
        <v>1.14730103225922</v>
      </c>
      <c r="E12" s="12" t="n">
        <f aca="false">Inputs!$B$9+Inputs!$B$5*SIN(RADIANS(A12))</f>
        <v>0.202300126981974</v>
      </c>
      <c r="F12" s="12" t="n">
        <f aca="false">-Inputs!$B$6*(1-COS(RADIANS(C12)))</f>
        <v>-0.00393889323232837</v>
      </c>
      <c r="G12" s="12" t="n">
        <f aca="false">C12*Inputs!$B$7</f>
        <v>2.23087794543018</v>
      </c>
      <c r="H12" s="12" t="n">
        <f aca="false">SQRT(D12^2+E12^2)</f>
        <v>1.165</v>
      </c>
    </row>
    <row r="13" customFormat="false" ht="15" hidden="false" customHeight="false" outlineLevel="0" collapsed="false">
      <c r="A13" s="12" t="n">
        <f aca="false">11*Inputs!$B$10*Inputs!$B$7</f>
        <v>11</v>
      </c>
      <c r="B13" s="12" t="n">
        <f aca="false">11*Inputs!$B$10</f>
        <v>11</v>
      </c>
      <c r="C13" s="12" t="n">
        <f aca="false">DEGREES(ASIN(MIN(MAX(Inputs!$B$5/Inputs!$B$6*SIN(RADIANS(A13)),-1),1)))</f>
        <v>2.45147349467327</v>
      </c>
      <c r="D13" s="12" t="n">
        <f aca="false">Inputs!$B$8+Inputs!$B$5*COS(RADIANS(A13))</f>
        <v>1.14359566871653</v>
      </c>
      <c r="E13" s="12" t="n">
        <f aca="false">Inputs!$B$9+Inputs!$B$5*SIN(RADIANS(A13))</f>
        <v>0.222292479613675</v>
      </c>
      <c r="F13" s="12" t="n">
        <f aca="false">-Inputs!$B$6*(1-COS(RADIANS(C13)))</f>
        <v>-0.00475626019856397</v>
      </c>
      <c r="G13" s="12" t="n">
        <f aca="false">C13*Inputs!$B$7</f>
        <v>2.45147349467327</v>
      </c>
      <c r="H13" s="12" t="n">
        <f aca="false">SQRT(D13^2+E13^2)</f>
        <v>1.165</v>
      </c>
    </row>
    <row r="14" customFormat="false" ht="15" hidden="false" customHeight="false" outlineLevel="0" collapsed="false">
      <c r="A14" s="12" t="n">
        <f aca="false">12*Inputs!$B$10*Inputs!$B$7</f>
        <v>12</v>
      </c>
      <c r="B14" s="12" t="n">
        <f aca="false">12*Inputs!$B$10</f>
        <v>12</v>
      </c>
      <c r="C14" s="12" t="n">
        <f aca="false">DEGREES(ASIN(MIN(MAX(Inputs!$B$5/Inputs!$B$6*SIN(RADIANS(A14)),-1),1)))</f>
        <v>2.67135808442831</v>
      </c>
      <c r="D14" s="12" t="n">
        <f aca="false">Inputs!$B$8+Inputs!$B$5*COS(RADIANS(A14))</f>
        <v>1.13954195485488</v>
      </c>
      <c r="E14" s="12" t="n">
        <f aca="false">Inputs!$B$9+Inputs!$B$5*SIN(RADIANS(A14))</f>
        <v>0.24221711980269</v>
      </c>
      <c r="F14" s="12" t="n">
        <f aca="false">-Inputs!$B$6*(1-COS(RADIANS(C14)))</f>
        <v>-0.0056475878751506</v>
      </c>
      <c r="G14" s="12" t="n">
        <f aca="false">C14*Inputs!$B$7</f>
        <v>2.67135808442831</v>
      </c>
      <c r="H14" s="12" t="n">
        <f aca="false">SQRT(D14^2+E14^2)</f>
        <v>1.165</v>
      </c>
    </row>
    <row r="15" customFormat="false" ht="15" hidden="false" customHeight="false" outlineLevel="0" collapsed="false">
      <c r="A15" s="12" t="n">
        <f aca="false">13*Inputs!$B$10*Inputs!$B$7</f>
        <v>13</v>
      </c>
      <c r="B15" s="12" t="n">
        <f aca="false">13*Inputs!$B$10</f>
        <v>13</v>
      </c>
      <c r="C15" s="12" t="n">
        <f aca="false">DEGREES(ASIN(MIN(MAX(Inputs!$B$5/Inputs!$B$6*SIN(RADIANS(A15)),-1),1)))</f>
        <v>2.8904675905658</v>
      </c>
      <c r="D15" s="12" t="n">
        <f aca="false">Inputs!$B$8+Inputs!$B$5*COS(RADIANS(A15))</f>
        <v>1.1351411254748</v>
      </c>
      <c r="E15" s="12" t="n">
        <f aca="false">Inputs!$B$9+Inputs!$B$5*SIN(RADIANS(A15))</f>
        <v>0.262067978310603</v>
      </c>
      <c r="F15" s="12" t="n">
        <f aca="false">-Inputs!$B$6*(1-COS(RADIANS(C15)))</f>
        <v>-0.00661182812458684</v>
      </c>
      <c r="G15" s="12" t="n">
        <f aca="false">C15*Inputs!$B$7</f>
        <v>2.8904675905658</v>
      </c>
      <c r="H15" s="12" t="n">
        <f aca="false">SQRT(D15^2+E15^2)</f>
        <v>1.165</v>
      </c>
    </row>
    <row r="16" customFormat="false" ht="15" hidden="false" customHeight="false" outlineLevel="0" collapsed="false">
      <c r="A16" s="12" t="n">
        <f aca="false">14*Inputs!$B$10*Inputs!$B$7</f>
        <v>14</v>
      </c>
      <c r="B16" s="12" t="n">
        <f aca="false">14*Inputs!$B$10</f>
        <v>14</v>
      </c>
      <c r="C16" s="12" t="n">
        <f aca="false">DEGREES(ASIN(MIN(MAX(Inputs!$B$5/Inputs!$B$6*SIN(RADIANS(A16)),-1),1)))</f>
        <v>3.10873802387914</v>
      </c>
      <c r="D16" s="12" t="n">
        <f aca="false">Inputs!$B$8+Inputs!$B$5*COS(RADIANS(A16))</f>
        <v>1.13039452111154</v>
      </c>
      <c r="E16" s="12" t="n">
        <f aca="false">Inputs!$B$9+Inputs!$B$5*SIN(RADIANS(A16))</f>
        <v>0.281839008373613</v>
      </c>
      <c r="F16" s="12" t="n">
        <f aca="false">-Inputs!$B$6*(1-COS(RADIANS(C16)))</f>
        <v>-0.00764784646879297</v>
      </c>
      <c r="G16" s="12" t="n">
        <f aca="false">C16*Inputs!$B$7</f>
        <v>3.10873802387914</v>
      </c>
      <c r="H16" s="12" t="n">
        <f aca="false">SQRT(D16^2+E16^2)</f>
        <v>1.165</v>
      </c>
    </row>
    <row r="17" customFormat="false" ht="15" hidden="false" customHeight="false" outlineLevel="0" collapsed="false">
      <c r="A17" s="12" t="n">
        <f aca="false">15*Inputs!$B$10*Inputs!$B$7</f>
        <v>15</v>
      </c>
      <c r="B17" s="12" t="n">
        <f aca="false">15*Inputs!$B$10</f>
        <v>15</v>
      </c>
      <c r="C17" s="12" t="n">
        <f aca="false">DEGREES(ASIN(MIN(MAX(Inputs!$B$5/Inputs!$B$6*SIN(RADIANS(A17)),-1),1)))</f>
        <v>3.32610554225705</v>
      </c>
      <c r="D17" s="12" t="n">
        <f aca="false">Inputs!$B$8+Inputs!$B$5*COS(RADIANS(A17))</f>
        <v>1.12530358762676</v>
      </c>
      <c r="E17" s="12" t="n">
        <f aca="false">Inputs!$B$9+Inputs!$B$5*SIN(RADIANS(A17))</f>
        <v>0.301524187544437</v>
      </c>
      <c r="F17" s="12" t="n">
        <f aca="false">-Inputs!$B$6*(1-COS(RADIANS(C17)))</f>
        <v>-0.00875442328279286</v>
      </c>
      <c r="G17" s="12" t="n">
        <f aca="false">C17*Inputs!$B$7</f>
        <v>3.32610554225705</v>
      </c>
      <c r="H17" s="12" t="n">
        <f aca="false">SQRT(D17^2+E17^2)</f>
        <v>1.165</v>
      </c>
    </row>
    <row r="18" customFormat="false" ht="15" hidden="false" customHeight="false" outlineLevel="0" collapsed="false">
      <c r="A18" s="12" t="n">
        <f aca="false">16*Inputs!$B$10*Inputs!$B$7</f>
        <v>16</v>
      </c>
      <c r="B18" s="12" t="n">
        <f aca="false">16*Inputs!$B$10</f>
        <v>16</v>
      </c>
      <c r="C18" s="12" t="n">
        <f aca="false">DEGREES(ASIN(MIN(MAX(Inputs!$B$5/Inputs!$B$6*SIN(RADIANS(A18)),-1),1)))</f>
        <v>3.54250646307235</v>
      </c>
      <c r="D18" s="12" t="n">
        <f aca="false">Inputs!$B$8+Inputs!$B$5*COS(RADIANS(A18))</f>
        <v>1.11986987576814</v>
      </c>
      <c r="E18" s="12" t="n">
        <f aca="false">Inputs!$B$9+Inputs!$B$5*SIN(RADIANS(A18))</f>
        <v>0.321117519526804</v>
      </c>
      <c r="F18" s="12" t="n">
        <f aca="false">-Inputs!$B$6*(1-COS(RADIANS(C18)))</f>
        <v>-0.00993025508110656</v>
      </c>
      <c r="G18" s="12" t="n">
        <f aca="false">C18*Inputs!$B$7</f>
        <v>3.54250646307235</v>
      </c>
      <c r="H18" s="12" t="n">
        <f aca="false">SQRT(D18^2+E18^2)</f>
        <v>1.165</v>
      </c>
    </row>
    <row r="19" customFormat="false" ht="15" hidden="false" customHeight="false" outlineLevel="0" collapsed="false">
      <c r="A19" s="12" t="n">
        <f aca="false">17*Inputs!$B$10*Inputs!$B$7</f>
        <v>17</v>
      </c>
      <c r="B19" s="12" t="n">
        <f aca="false">17*Inputs!$B$10</f>
        <v>17</v>
      </c>
      <c r="C19" s="12" t="n">
        <f aca="false">DEGREES(ASIN(MIN(MAX(Inputs!$B$5/Inputs!$B$6*SIN(RADIANS(A19)),-1),1)))</f>
        <v>3.75787727580123</v>
      </c>
      <c r="D19" s="12" t="n">
        <f aca="false">Inputs!$B$8+Inputs!$B$5*COS(RADIANS(A19))</f>
        <v>1.11409504069694</v>
      </c>
      <c r="E19" s="12" t="n">
        <f aca="false">Inputs!$B$9+Inputs!$B$5*SIN(RADIANS(A19))</f>
        <v>0.340613036001988</v>
      </c>
      <c r="F19" s="12" t="n">
        <f aca="false">-Inputs!$B$6*(1-COS(RADIANS(C19)))</f>
        <v>-0.0111739558961769</v>
      </c>
      <c r="G19" s="12" t="n">
        <f aca="false">C19*Inputs!$B$7</f>
        <v>3.75787727580123</v>
      </c>
      <c r="H19" s="12" t="n">
        <f aca="false">SQRT(D19^2+E19^2)</f>
        <v>1.165</v>
      </c>
    </row>
    <row r="20" customFormat="false" ht="15" hidden="false" customHeight="false" outlineLevel="0" collapsed="false">
      <c r="A20" s="12" t="n">
        <f aca="false">18*Inputs!$B$10*Inputs!$B$7</f>
        <v>18</v>
      </c>
      <c r="B20" s="12" t="n">
        <f aca="false">18*Inputs!$B$10</f>
        <v>18</v>
      </c>
      <c r="C20" s="12" t="n">
        <f aca="false">DEGREES(ASIN(MIN(MAX(Inputs!$B$5/Inputs!$B$6*SIN(RADIANS(A20)),-1),1)))</f>
        <v>3.97215465488641</v>
      </c>
      <c r="D20" s="12" t="n">
        <f aca="false">Inputs!$B$8+Inputs!$B$5*COS(RADIANS(A20))</f>
        <v>1.10798084148385</v>
      </c>
      <c r="E20" s="12" t="n">
        <f aca="false">Inputs!$B$9+Inputs!$B$5*SIN(RADIANS(A20))</f>
        <v>0.360004798446814</v>
      </c>
      <c r="F20" s="12" t="n">
        <f aca="false">-Inputs!$B$6*(1-COS(RADIANS(C20)))</f>
        <v>-0.0124840587480811</v>
      </c>
      <c r="G20" s="12" t="n">
        <f aca="false">C20*Inputs!$B$7</f>
        <v>3.97215465488641</v>
      </c>
      <c r="H20" s="12" t="n">
        <f aca="false">SQRT(D20^2+E20^2)</f>
        <v>1.165</v>
      </c>
    </row>
    <row r="21" customFormat="false" ht="15" hidden="false" customHeight="false" outlineLevel="0" collapsed="false">
      <c r="A21" s="12" t="n">
        <f aca="false">19*Inputs!$B$10*Inputs!$B$7</f>
        <v>19</v>
      </c>
      <c r="B21" s="12" t="n">
        <f aca="false">19*Inputs!$B$10</f>
        <v>19</v>
      </c>
      <c r="C21" s="12" t="n">
        <f aca="false">DEGREES(ASIN(MIN(MAX(Inputs!$B$5/Inputs!$B$6*SIN(RADIANS(A21)),-1),1)))</f>
        <v>4.18527547285736</v>
      </c>
      <c r="D21" s="12" t="n">
        <f aca="false">Inputs!$B$8+Inputs!$B$5*COS(RADIANS(A21))</f>
        <v>1.1015291405732</v>
      </c>
      <c r="E21" s="12" t="n">
        <f aca="false">Inputs!$B$9+Inputs!$B$5*SIN(RADIANS(A21))</f>
        <v>0.379286899942588</v>
      </c>
      <c r="F21" s="12" t="n">
        <f aca="false">-Inputs!$B$6*(1-COS(RADIANS(C21)))</f>
        <v>-0.0138590172047278</v>
      </c>
      <c r="G21" s="12" t="n">
        <f aca="false">C21*Inputs!$B$7</f>
        <v>4.18527547285736</v>
      </c>
      <c r="H21" s="12" t="n">
        <f aca="false">SQRT(D21^2+E21^2)</f>
        <v>1.165</v>
      </c>
    </row>
    <row r="22" customFormat="false" ht="15" hidden="false" customHeight="false" outlineLevel="0" collapsed="false">
      <c r="A22" s="12" t="n">
        <f aca="false">20*Inputs!$B$10*Inputs!$B$7</f>
        <v>20</v>
      </c>
      <c r="B22" s="12" t="n">
        <f aca="false">20*Inputs!$B$10</f>
        <v>20</v>
      </c>
      <c r="C22" s="12" t="n">
        <f aca="false">DEGREES(ASIN(MIN(MAX(Inputs!$B$5/Inputs!$B$6*SIN(RADIANS(A22)),-1),1)))</f>
        <v>4.3971768137195</v>
      </c>
      <c r="D22" s="12" t="n">
        <f aca="false">Inputs!$B$8+Inputs!$B$5*COS(RADIANS(A22))</f>
        <v>1.09474190321558</v>
      </c>
      <c r="E22" s="12" t="n">
        <f aca="false">Inputs!$B$9+Inputs!$B$5*SIN(RADIANS(A22))</f>
        <v>0.398453466974404</v>
      </c>
      <c r="F22" s="12" t="n">
        <f aca="false">-Inputs!$B$6*(1-COS(RADIANS(C22)))</f>
        <v>-0.0152972070316422</v>
      </c>
      <c r="G22" s="12" t="n">
        <f aca="false">C22*Inputs!$B$7</f>
        <v>4.3971768137195</v>
      </c>
      <c r="H22" s="12" t="n">
        <f aca="false">SQRT(D22^2+E22^2)</f>
        <v>1.165</v>
      </c>
    </row>
    <row r="23" customFormat="false" ht="15" hidden="false" customHeight="false" outlineLevel="0" collapsed="false">
      <c r="A23" s="12" t="n">
        <f aca="false">21*Inputs!$B$10*Inputs!$B$7</f>
        <v>21</v>
      </c>
      <c r="B23" s="12" t="n">
        <f aca="false">21*Inputs!$B$10</f>
        <v>21</v>
      </c>
      <c r="C23" s="12" t="n">
        <f aca="false">DEGREES(ASIN(MIN(MAX(Inputs!$B$5/Inputs!$B$6*SIN(RADIANS(A23)),-1),1)))</f>
        <v>4.60779598662431</v>
      </c>
      <c r="D23" s="12" t="n">
        <f aca="false">Inputs!$B$8+Inputs!$B$5*COS(RADIANS(A23))</f>
        <v>1.08762119686924</v>
      </c>
      <c r="E23" s="12" t="n">
        <f aca="false">Inputs!$B$9+Inputs!$B$5*SIN(RADIANS(A23))</f>
        <v>0.417498661220275</v>
      </c>
      <c r="F23" s="12" t="n">
        <f aca="false">-Inputs!$B$6*(1-COS(RADIANS(C23)))</f>
        <v>-0.0167969279304043</v>
      </c>
      <c r="G23" s="12" t="n">
        <f aca="false">C23*Inputs!$B$7</f>
        <v>4.60779598662431</v>
      </c>
      <c r="H23" s="12" t="n">
        <f aca="false">SQRT(D23^2+E23^2)</f>
        <v>1.165</v>
      </c>
    </row>
    <row r="24" customFormat="false" ht="15" hidden="false" customHeight="false" outlineLevel="0" collapsed="false">
      <c r="A24" s="12" t="n">
        <f aca="false">22*Inputs!$B$10*Inputs!$B$7</f>
        <v>22</v>
      </c>
      <c r="B24" s="12" t="n">
        <f aca="false">22*Inputs!$B$10</f>
        <v>22</v>
      </c>
      <c r="C24" s="12" t="n">
        <f aca="false">DEGREES(ASIN(MIN(MAX(Inputs!$B$5/Inputs!$B$6*SIN(RADIANS(A24)),-1),1)))</f>
        <v>4.81707053983092</v>
      </c>
      <c r="D24" s="12" t="n">
        <f aca="false">Inputs!$B$8+Inputs!$B$5*COS(RADIANS(A24))</f>
        <v>1.08016919057031</v>
      </c>
      <c r="E24" s="12" t="n">
        <f aca="false">Inputs!$B$9+Inputs!$B$5*SIN(RADIANS(A24))</f>
        <v>0.436416681329538</v>
      </c>
      <c r="F24" s="12" t="n">
        <f aca="false">-Inputs!$B$6*(1-COS(RADIANS(C24)))</f>
        <v>-0.0183564053646911</v>
      </c>
      <c r="G24" s="12" t="n">
        <f aca="false">C24*Inputs!$B$7</f>
        <v>4.81707053983092</v>
      </c>
      <c r="H24" s="12" t="n">
        <f aca="false">SQRT(D24^2+E24^2)</f>
        <v>1.165</v>
      </c>
    </row>
    <row r="25" customFormat="false" ht="15" hidden="false" customHeight="false" outlineLevel="0" collapsed="false">
      <c r="A25" s="12" t="n">
        <f aca="false">23*Inputs!$B$10*Inputs!$B$7</f>
        <v>23</v>
      </c>
      <c r="B25" s="12" t="n">
        <f aca="false">23*Inputs!$B$10</f>
        <v>23</v>
      </c>
      <c r="C25" s="12" t="n">
        <f aca="false">DEGREES(ASIN(MIN(MAX(Inputs!$B$5/Inputs!$B$6*SIN(RADIANS(A25)),-1),1)))</f>
        <v>5.02493827496937</v>
      </c>
      <c r="D25" s="12" t="n">
        <f aca="false">Inputs!$B$8+Inputs!$B$5*COS(RADIANS(A25))</f>
        <v>1.07238815427209</v>
      </c>
      <c r="E25" s="12" t="n">
        <f aca="false">Inputs!$B$9+Inputs!$B$5*SIN(RADIANS(A25))</f>
        <v>0.455201764690004</v>
      </c>
      <c r="F25" s="12" t="n">
        <f aca="false">-Inputs!$B$6*(1-COS(RADIANS(C25)))</f>
        <v>-0.0199737924728347</v>
      </c>
      <c r="G25" s="12" t="n">
        <f aca="false">C25*Inputs!$B$7</f>
        <v>5.02493827496937</v>
      </c>
      <c r="H25" s="12" t="n">
        <f aca="false">SQRT(D25^2+E25^2)</f>
        <v>1.165</v>
      </c>
    </row>
    <row r="26" customFormat="false" ht="15" hidden="false" customHeight="false" outlineLevel="0" collapsed="false">
      <c r="A26" s="12" t="n">
        <f aca="false">24*Inputs!$B$10*Inputs!$B$7</f>
        <v>24</v>
      </c>
      <c r="B26" s="12" t="n">
        <f aca="false">24*Inputs!$B$10</f>
        <v>24</v>
      </c>
      <c r="C26" s="12" t="n">
        <f aca="false">DEGREES(ASIN(MIN(MAX(Inputs!$B$5/Inputs!$B$6*SIN(RADIANS(A26)),-1),1)))</f>
        <v>5.23133726161461</v>
      </c>
      <c r="D26" s="12" t="n">
        <f aca="false">Inputs!$B$8+Inputs!$B$5*COS(RADIANS(A26))</f>
        <v>1.06428045815363</v>
      </c>
      <c r="E26" s="12" t="n">
        <f aca="false">Inputs!$B$9+Inputs!$B$5*SIN(RADIANS(A26))</f>
        <v>0.473848189183307</v>
      </c>
      <c r="F26" s="12" t="n">
        <f aca="false">-Inputs!$B$6*(1-COS(RADIANS(C26)))</f>
        <v>-0.021647172065686</v>
      </c>
      <c r="G26" s="12" t="n">
        <f aca="false">C26*Inputs!$B$7</f>
        <v>5.23133726161461</v>
      </c>
      <c r="H26" s="12" t="n">
        <f aca="false">SQRT(D26^2+E26^2)</f>
        <v>1.165</v>
      </c>
    </row>
    <row r="27" customFormat="false" ht="15" hidden="false" customHeight="false" outlineLevel="0" collapsed="false">
      <c r="A27" s="12" t="n">
        <f aca="false">25*Inputs!$B$10*Inputs!$B$7</f>
        <v>25</v>
      </c>
      <c r="B27" s="12" t="n">
        <f aca="false">25*Inputs!$B$10</f>
        <v>25</v>
      </c>
      <c r="C27" s="12" t="n">
        <f aca="false">DEGREES(ASIN(MIN(MAX(Inputs!$B$5/Inputs!$B$6*SIN(RADIANS(A27)),-1),1)))</f>
        <v>5.43620585217989</v>
      </c>
      <c r="D27" s="12" t="n">
        <f aca="false">Inputs!$B$8+Inputs!$B$5*COS(RADIANS(A27))</f>
        <v>1.0558485718977</v>
      </c>
      <c r="E27" s="12" t="n">
        <f aca="false">Inputs!$B$9+Inputs!$B$5*SIN(RADIANS(A27))</f>
        <v>0.492350274927915</v>
      </c>
      <c r="F27" s="12" t="n">
        <f aca="false">-Inputs!$B$6*(1-COS(RADIANS(C27)))</f>
        <v>-0.0233745587085255</v>
      </c>
      <c r="G27" s="12" t="n">
        <f aca="false">C27*Inputs!$B$7</f>
        <v>5.43620585217989</v>
      </c>
      <c r="H27" s="12" t="n">
        <f aca="false">SQRT(D27^2+E27^2)</f>
        <v>1.165</v>
      </c>
    </row>
    <row r="28" customFormat="false" ht="15" hidden="false" customHeight="false" outlineLevel="0" collapsed="false">
      <c r="A28" s="12" t="n">
        <f aca="false">26*Inputs!$B$10*Inputs!$B$7</f>
        <v>26</v>
      </c>
      <c r="B28" s="12" t="n">
        <f aca="false">26*Inputs!$B$10</f>
        <v>26</v>
      </c>
      <c r="C28" s="12" t="n">
        <f aca="false">DEGREES(ASIN(MIN(MAX(Inputs!$B$5/Inputs!$B$6*SIN(RADIANS(A28)),-1),1)))</f>
        <v>5.63948269713659</v>
      </c>
      <c r="D28" s="12" t="n">
        <f aca="false">Inputs!$B$8+Inputs!$B$5*COS(RADIANS(A28))</f>
        <v>1.04709506393853</v>
      </c>
      <c r="E28" s="12" t="n">
        <f aca="false">Inputs!$B$9+Inputs!$B$5*SIN(RADIANS(A28))</f>
        <v>0.510702386009275</v>
      </c>
      <c r="F28" s="12" t="n">
        <f aca="false">-Inputs!$B$6*(1-COS(RADIANS(C28)))</f>
        <v>-0.0251539008856387</v>
      </c>
      <c r="G28" s="12" t="n">
        <f aca="false">C28*Inputs!$B$7</f>
        <v>5.63948269713659</v>
      </c>
      <c r="H28" s="12" t="n">
        <f aca="false">SQRT(D28^2+E28^2)</f>
        <v>1.165</v>
      </c>
    </row>
    <row r="29" customFormat="false" ht="15" hidden="false" customHeight="false" outlineLevel="0" collapsed="false">
      <c r="A29" s="12" t="n">
        <f aca="false">27*Inputs!$B$10*Inputs!$B$7</f>
        <v>27</v>
      </c>
      <c r="B29" s="12" t="n">
        <f aca="false">27*Inputs!$B$10</f>
        <v>27</v>
      </c>
      <c r="C29" s="12" t="n">
        <f aca="false">DEGREES(ASIN(MIN(MAX(Inputs!$B$5/Inputs!$B$6*SIN(RADIANS(A29)),-1),1)))</f>
        <v>5.84110676056738</v>
      </c>
      <c r="D29" s="12" t="n">
        <f aca="false">Inputs!$B$8+Inputs!$B$5*COS(RADIANS(A29))</f>
        <v>1.03802260067945</v>
      </c>
      <c r="E29" s="12" t="n">
        <f aca="false">Inputs!$B$9+Inputs!$B$5*SIN(RADIANS(A29))</f>
        <v>0.528898932196572</v>
      </c>
      <c r="F29" s="12" t="n">
        <f aca="false">-Inputs!$B$6*(1-COS(RADIANS(C29)))</f>
        <v>-0.026983083246117</v>
      </c>
      <c r="G29" s="12" t="n">
        <f aca="false">C29*Inputs!$B$7</f>
        <v>5.84110676056738</v>
      </c>
      <c r="H29" s="12" t="n">
        <f aca="false">SQRT(D29^2+E29^2)</f>
        <v>1.165</v>
      </c>
    </row>
    <row r="30" customFormat="false" ht="15" hidden="false" customHeight="false" outlineLevel="0" collapsed="false">
      <c r="A30" s="12" t="n">
        <f aca="false">28*Inputs!$B$10*Inputs!$B$7</f>
        <v>28</v>
      </c>
      <c r="B30" s="12" t="n">
        <f aca="false">28*Inputs!$B$10</f>
        <v>28</v>
      </c>
      <c r="C30" s="12" t="n">
        <f aca="false">DEGREES(ASIN(MIN(MAX(Inputs!$B$5/Inputs!$B$6*SIN(RADIANS(A30)),-1),1)))</f>
        <v>6.04101733605791</v>
      </c>
      <c r="D30" s="12" t="n">
        <f aca="false">Inputs!$B$8+Inputs!$B$5*COS(RADIANS(A30))</f>
        <v>1.02863394568065</v>
      </c>
      <c r="E30" s="12" t="n">
        <f aca="false">Inputs!$B$9+Inputs!$B$5*SIN(RADIANS(A30))</f>
        <v>0.546934370645563</v>
      </c>
      <c r="F30" s="12" t="n">
        <f aca="false">-Inputs!$B$6*(1-COS(RADIANS(C30)))</f>
        <v>-0.0288599289293111</v>
      </c>
      <c r="G30" s="12" t="n">
        <f aca="false">C30*Inputs!$B$7</f>
        <v>6.04101733605791</v>
      </c>
      <c r="H30" s="12" t="n">
        <f aca="false">SQRT(D30^2+E30^2)</f>
        <v>1.165</v>
      </c>
    </row>
    <row r="31" customFormat="false" ht="15" hidden="false" customHeight="false" outlineLevel="0" collapsed="false">
      <c r="A31" s="12" t="n">
        <f aca="false">29*Inputs!$B$10*Inputs!$B$7</f>
        <v>29</v>
      </c>
      <c r="B31" s="12" t="n">
        <f aca="false">29*Inputs!$B$10</f>
        <v>29</v>
      </c>
      <c r="C31" s="12" t="n">
        <f aca="false">DEGREES(ASIN(MIN(MAX(Inputs!$B$5/Inputs!$B$6*SIN(RADIANS(A31)),-1),1)))</f>
        <v>6.23915406293177</v>
      </c>
      <c r="D31" s="12" t="n">
        <f aca="false">Inputs!$B$8+Inputs!$B$5*COS(RADIANS(A31))</f>
        <v>1.0189319588174</v>
      </c>
      <c r="E31" s="12" t="n">
        <f aca="false">Inputs!$B$9+Inputs!$B$5*SIN(RADIANS(A31))</f>
        <v>0.564803207586983</v>
      </c>
      <c r="F31" s="12" t="n">
        <f aca="false">-Inputs!$B$6*(1-COS(RADIANS(C31)))</f>
        <v>-0.0307822019683051</v>
      </c>
      <c r="G31" s="12" t="n">
        <f aca="false">C31*Inputs!$B$7</f>
        <v>6.23915406293177</v>
      </c>
      <c r="H31" s="12" t="n">
        <f aca="false">SQRT(D31^2+E31^2)</f>
        <v>1.165</v>
      </c>
    </row>
    <row r="32" customFormat="false" ht="15" hidden="false" customHeight="false" outlineLevel="0" collapsed="false">
      <c r="A32" s="12" t="n">
        <f aca="false">30*Inputs!$B$10*Inputs!$B$7</f>
        <v>30</v>
      </c>
      <c r="B32" s="12" t="n">
        <f aca="false">30*Inputs!$B$10</f>
        <v>30</v>
      </c>
      <c r="C32" s="12" t="n">
        <f aca="false">DEGREES(ASIN(MIN(MAX(Inputs!$B$5/Inputs!$B$6*SIN(RADIANS(A32)),-1),1)))</f>
        <v>6.43545694283194</v>
      </c>
      <c r="D32" s="12" t="n">
        <f aca="false">Inputs!$B$8+Inputs!$B$5*COS(RADIANS(A32))</f>
        <v>1.00891959540887</v>
      </c>
      <c r="E32" s="12" t="n">
        <f aca="false">Inputs!$B$9+Inputs!$B$5*SIN(RADIANS(A32))</f>
        <v>0.5825</v>
      </c>
      <c r="F32" s="12" t="n">
        <f aca="false">-Inputs!$B$6*(1-COS(RADIANS(C32)))</f>
        <v>-0.0327476097696386</v>
      </c>
      <c r="G32" s="12" t="n">
        <f aca="false">C32*Inputs!$B$7</f>
        <v>6.43545694283194</v>
      </c>
      <c r="H32" s="12" t="n">
        <f aca="false">SQRT(D32^2+E32^2)</f>
        <v>1.165</v>
      </c>
    </row>
    <row r="33" customFormat="false" ht="15" hidden="false" customHeight="false" outlineLevel="0" collapsed="false">
      <c r="A33" s="12" t="n">
        <f aca="false">31*Inputs!$B$10*Inputs!$B$7</f>
        <v>31</v>
      </c>
      <c r="B33" s="12" t="n">
        <f aca="false">31*Inputs!$B$10</f>
        <v>31</v>
      </c>
      <c r="C33" s="12" t="n">
        <f aca="false">DEGREES(ASIN(MIN(MAX(Inputs!$B$5/Inputs!$B$6*SIN(RADIANS(A33)),-1),1)))</f>
        <v>6.62986635665113</v>
      </c>
      <c r="D33" s="12" t="n">
        <f aca="false">Inputs!$B$8+Inputs!$B$5*COS(RADIANS(A33))</f>
        <v>0.998599905317961</v>
      </c>
      <c r="E33" s="12" t="n">
        <f aca="false">Inputs!$B$9+Inputs!$B$5*SIN(RADIANS(A33))</f>
        <v>0.600019357270213</v>
      </c>
      <c r="F33" s="12" t="n">
        <f aca="false">-Inputs!$B$6*(1-COS(RADIANS(C33)))</f>
        <v>-0.0347538056674357</v>
      </c>
      <c r="G33" s="12" t="n">
        <f aca="false">C33*Inputs!$B$7</f>
        <v>6.62986635665113</v>
      </c>
      <c r="H33" s="12" t="n">
        <f aca="false">SQRT(D33^2+E33^2)</f>
        <v>1.165</v>
      </c>
    </row>
    <row r="34" customFormat="false" ht="15" hidden="false" customHeight="false" outlineLevel="0" collapsed="false">
      <c r="A34" s="12" t="n">
        <f aca="false">32*Inputs!$B$10*Inputs!$B$7</f>
        <v>32</v>
      </c>
      <c r="B34" s="12" t="n">
        <f aca="false">32*Inputs!$B$10</f>
        <v>32</v>
      </c>
      <c r="C34" s="12" t="n">
        <f aca="false">DEGREES(ASIN(MIN(MAX(Inputs!$B$5/Inputs!$B$6*SIN(RADIANS(A34)),-1),1)))</f>
        <v>6.82232308181218</v>
      </c>
      <c r="D34" s="12" t="n">
        <f aca="false">Inputs!$B$8+Inputs!$B$5*COS(RADIANS(A34))</f>
        <v>0.987976032022236</v>
      </c>
      <c r="E34" s="12" t="n">
        <f aca="false">Inputs!$B$9+Inputs!$B$5*SIN(RADIANS(A34))</f>
        <v>0.617355942831684</v>
      </c>
      <c r="F34" s="12" t="n">
        <f aca="false">-Inputs!$B$6*(1-COS(RADIANS(C34)))</f>
        <v>-0.0367983915499578</v>
      </c>
      <c r="G34" s="12" t="n">
        <f aca="false">C34*Inputs!$B$7</f>
        <v>6.82232308181218</v>
      </c>
      <c r="H34" s="12" t="n">
        <f aca="false">SQRT(D34^2+E34^2)</f>
        <v>1.165</v>
      </c>
    </row>
    <row r="35" customFormat="false" ht="15" hidden="false" customHeight="false" outlineLevel="0" collapsed="false">
      <c r="A35" s="12" t="n">
        <f aca="false">33*Inputs!$B$10*Inputs!$B$7</f>
        <v>33</v>
      </c>
      <c r="B35" s="12" t="n">
        <f aca="false">33*Inputs!$B$10</f>
        <v>33</v>
      </c>
      <c r="C35" s="12" t="n">
        <f aca="false">DEGREES(ASIN(MIN(MAX(Inputs!$B$5/Inputs!$B$6*SIN(RADIANS(A35)),-1),1)))</f>
        <v>7.01276830989849</v>
      </c>
      <c r="D35" s="12" t="n">
        <f aca="false">Inputs!$B$8+Inputs!$B$5*COS(RADIANS(A35))</f>
        <v>0.977051211656419</v>
      </c>
      <c r="E35" s="12" t="n">
        <f aca="false">Inputs!$B$9+Inputs!$B$5*SIN(RADIANS(A35))</f>
        <v>0.634504475792507</v>
      </c>
      <c r="F35" s="12" t="n">
        <f aca="false">-Inputs!$B$6*(1-COS(RADIANS(C35)))</f>
        <v>-0.0388789205565098</v>
      </c>
      <c r="G35" s="12" t="n">
        <f aca="false">C35*Inputs!$B$7</f>
        <v>7.01276830989849</v>
      </c>
      <c r="H35" s="12" t="n">
        <f aca="false">SQRT(D35^2+E35^2)</f>
        <v>1.165</v>
      </c>
    </row>
    <row r="36" customFormat="false" ht="15" hidden="false" customHeight="false" outlineLevel="0" collapsed="false">
      <c r="A36" s="12" t="n">
        <f aca="false">34*Inputs!$B$10*Inputs!$B$7</f>
        <v>34</v>
      </c>
      <c r="B36" s="12" t="n">
        <f aca="false">34*Inputs!$B$10</f>
        <v>34</v>
      </c>
      <c r="C36" s="12" t="n">
        <f aca="false">DEGREES(ASIN(MIN(MAX(Inputs!$B$5/Inputs!$B$6*SIN(RADIANS(A36)),-1),1)))</f>
        <v>7.20114366463325</v>
      </c>
      <c r="D36" s="12" t="n">
        <f aca="false">Inputs!$B$8+Inputs!$B$5*COS(RADIANS(A36))</f>
        <v>0.965828772026624</v>
      </c>
      <c r="E36" s="12" t="n">
        <f aca="false">Inputs!$B$9+Inputs!$B$5*SIN(RADIANS(A36))</f>
        <v>0.65145973254342</v>
      </c>
      <c r="F36" s="12" t="n">
        <f aca="false">-Inputs!$B$6*(1-COS(RADIANS(C36)))</f>
        <v>-0.0409928998425095</v>
      </c>
      <c r="G36" s="12" t="n">
        <f aca="false">C36*Inputs!$B$7</f>
        <v>7.20114366463325</v>
      </c>
      <c r="H36" s="12" t="n">
        <f aca="false">SQRT(D36^2+E36^2)</f>
        <v>1.165</v>
      </c>
    </row>
    <row r="37" customFormat="false" ht="15" hidden="false" customHeight="false" outlineLevel="0" collapsed="false">
      <c r="A37" s="12" t="n">
        <f aca="false">35*Inputs!$B$10*Inputs!$B$7</f>
        <v>35</v>
      </c>
      <c r="B37" s="12" t="n">
        <f aca="false">35*Inputs!$B$10</f>
        <v>35</v>
      </c>
      <c r="C37" s="12" t="n">
        <f aca="false">DEGREES(ASIN(MIN(MAX(Inputs!$B$5/Inputs!$B$6*SIN(RADIANS(A37)),-1),1)))</f>
        <v>7.38739122020505</v>
      </c>
      <c r="D37" s="12" t="n">
        <f aca="false">Inputs!$B$8+Inputs!$B$5*COS(RADIANS(A37))</f>
        <v>0.954312131596676</v>
      </c>
      <c r="E37" s="12" t="n">
        <f aca="false">Inputs!$B$9+Inputs!$B$5*SIN(RADIANS(A37))</f>
        <v>0.668216548348969</v>
      </c>
      <c r="F37" s="12" t="n">
        <f aca="false">-Inputs!$B$6*(1-COS(RADIANS(C37)))</f>
        <v>-0.0431377934104029</v>
      </c>
      <c r="G37" s="12" t="n">
        <f aca="false">C37*Inputs!$B$7</f>
        <v>7.38739122020505</v>
      </c>
      <c r="H37" s="12" t="n">
        <f aca="false">SQRT(D37^2+E37^2)</f>
        <v>1.165</v>
      </c>
    </row>
    <row r="38" customFormat="false" ht="15" hidden="false" customHeight="false" outlineLevel="0" collapsed="false">
      <c r="A38" s="12" t="n">
        <f aca="false">36*Inputs!$B$10*Inputs!$B$7</f>
        <v>36</v>
      </c>
      <c r="B38" s="12" t="n">
        <f aca="false">36*Inputs!$B$10</f>
        <v>36</v>
      </c>
      <c r="C38" s="12" t="n">
        <f aca="false">DEGREES(ASIN(MIN(MAX(Inputs!$B$5/Inputs!$B$6*SIN(RADIANS(A38)),-1),1)))</f>
        <v>7.57145351993605</v>
      </c>
      <c r="D38" s="12" t="n">
        <f aca="false">Inputs!$B$8+Inputs!$B$5*COS(RADIANS(A38))</f>
        <v>0.942504798446814</v>
      </c>
      <c r="E38" s="12" t="n">
        <f aca="false">Inputs!$B$9+Inputs!$B$5*SIN(RADIANS(A38))</f>
        <v>0.684769818920731</v>
      </c>
      <c r="F38" s="12" t="n">
        <f aca="false">-Inputs!$B$6*(1-COS(RADIANS(C38)))</f>
        <v>-0.0453110250040064</v>
      </c>
      <c r="G38" s="12" t="n">
        <f aca="false">C38*Inputs!$B$7</f>
        <v>7.57145351993605</v>
      </c>
      <c r="H38" s="12" t="n">
        <f aca="false">SQRT(D38^2+E38^2)</f>
        <v>1.165</v>
      </c>
    </row>
    <row r="39" customFormat="false" ht="15" hidden="false" customHeight="false" outlineLevel="0" collapsed="false">
      <c r="A39" s="12" t="n">
        <f aca="false">37*Inputs!$B$10*Inputs!$B$7</f>
        <v>37</v>
      </c>
      <c r="B39" s="12" t="n">
        <f aca="false">37*Inputs!$B$10</f>
        <v>37</v>
      </c>
      <c r="C39" s="12" t="n">
        <f aca="false">DEGREES(ASIN(MIN(MAX(Inputs!$B$5/Inputs!$B$6*SIN(RADIANS(A39)),-1),1)))</f>
        <v>7.7532735952878</v>
      </c>
      <c r="D39" s="12" t="n">
        <f aca="false">Inputs!$B$8+Inputs!$B$5*COS(RADIANS(A39))</f>
        <v>0.930410369205096</v>
      </c>
      <c r="E39" s="12" t="n">
        <f aca="false">Inputs!$B$9+Inputs!$B$5*SIN(RADIANS(A39))</f>
        <v>0.701114501972136</v>
      </c>
      <c r="F39" s="12" t="n">
        <f aca="false">-Inputs!$B$6*(1-COS(RADIANS(C39)))</f>
        <v>-0.0475099810637207</v>
      </c>
      <c r="G39" s="12" t="n">
        <f aca="false">C39*Inputs!$B$7</f>
        <v>7.7532735952878</v>
      </c>
      <c r="H39" s="12" t="n">
        <f aca="false">SQRT(D39^2+E39^2)</f>
        <v>1.165</v>
      </c>
    </row>
    <row r="40" customFormat="false" ht="15" hidden="false" customHeight="false" outlineLevel="0" collapsed="false">
      <c r="A40" s="12" t="n">
        <f aca="false">38*Inputs!$B$10*Inputs!$B$7</f>
        <v>38</v>
      </c>
      <c r="B40" s="12" t="n">
        <f aca="false">38*Inputs!$B$10</f>
        <v>38</v>
      </c>
      <c r="C40" s="12" t="n">
        <f aca="false">DEGREES(ASIN(MIN(MAX(Inputs!$B$5/Inputs!$B$6*SIN(RADIANS(A40)),-1),1)))</f>
        <v>7.93279498519819</v>
      </c>
      <c r="D40" s="12" t="n">
        <f aca="false">Inputs!$B$8+Inputs!$B$5*COS(RADIANS(A40))</f>
        <v>0.918032527951831</v>
      </c>
      <c r="E40" s="12" t="n">
        <f aca="false">Inputs!$B$9+Inputs!$B$5*SIN(RADIANS(A40))</f>
        <v>0.717245618754392</v>
      </c>
      <c r="F40" s="12" t="n">
        <f aca="false">-Inputs!$B$6*(1-COS(RADIANS(C40)))</f>
        <v>-0.049732013739946</v>
      </c>
      <c r="G40" s="12" t="n">
        <f aca="false">C40*Inputs!$B$7</f>
        <v>7.93279498519819</v>
      </c>
      <c r="H40" s="12" t="n">
        <f aca="false">SQRT(D40^2+E40^2)</f>
        <v>1.165</v>
      </c>
    </row>
    <row r="41" customFormat="false" ht="15" hidden="false" customHeight="false" outlineLevel="0" collapsed="false">
      <c r="A41" s="12" t="n">
        <f aca="false">39*Inputs!$B$10*Inputs!$B$7</f>
        <v>39</v>
      </c>
      <c r="B41" s="12" t="n">
        <f aca="false">39*Inputs!$B$10</f>
        <v>39</v>
      </c>
      <c r="C41" s="12" t="n">
        <f aca="false">DEGREES(ASIN(MIN(MAX(Inputs!$B$5/Inputs!$B$6*SIN(RADIANS(A41)),-1),1)))</f>
        <v>8.109961755742</v>
      </c>
      <c r="D41" s="12" t="n">
        <f aca="false">Inputs!$B$8+Inputs!$B$5*COS(RADIANS(A41))</f>
        <v>0.905375045097371</v>
      </c>
      <c r="E41" s="12" t="n">
        <f aca="false">Inputs!$B$9+Inputs!$B$5*SIN(RADIANS(A41))</f>
        <v>0.733158255573061</v>
      </c>
      <c r="F41" s="12" t="n">
        <f aca="false">-Inputs!$B$6*(1-COS(RADIANS(C41)))</f>
        <v>-0.051974443961909</v>
      </c>
      <c r="G41" s="12" t="n">
        <f aca="false">C41*Inputs!$B$7</f>
        <v>8.109961755742</v>
      </c>
      <c r="H41" s="12" t="n">
        <f aca="false">SQRT(D41^2+E41^2)</f>
        <v>1.165</v>
      </c>
    </row>
    <row r="42" customFormat="false" ht="15" hidden="false" customHeight="false" outlineLevel="0" collapsed="false">
      <c r="A42" s="12" t="n">
        <f aca="false">40*Inputs!$B$10*Inputs!$B$7</f>
        <v>40</v>
      </c>
      <c r="B42" s="12" t="n">
        <f aca="false">40*Inputs!$B$10</f>
        <v>40</v>
      </c>
      <c r="C42" s="12" t="n">
        <f aca="false">DEGREES(ASIN(MIN(MAX(Inputs!$B$5/Inputs!$B$6*SIN(RADIANS(A42)),-1),1)))</f>
        <v>8.28471852010586</v>
      </c>
      <c r="D42" s="12" t="n">
        <f aca="false">Inputs!$B$8+Inputs!$B$5*COS(RADIANS(A42))</f>
        <v>0.892441776233609</v>
      </c>
      <c r="E42" s="12" t="n">
        <f aca="false">Inputs!$B$9+Inputs!$B$5*SIN(RADIANS(A42))</f>
        <v>0.748847565284818</v>
      </c>
      <c r="F42" s="12" t="n">
        <f aca="false">-Inputs!$B$6*(1-COS(RADIANS(C42)))</f>
        <v>-0.054234564558967</v>
      </c>
      <c r="G42" s="12" t="n">
        <f aca="false">C42*Inputs!$B$7</f>
        <v>8.28471852010586</v>
      </c>
      <c r="H42" s="12" t="n">
        <f aca="false">SQRT(D42^2+E42^2)</f>
        <v>1.165</v>
      </c>
    </row>
    <row r="43" customFormat="false" ht="15" hidden="false" customHeight="false" outlineLevel="0" collapsed="false">
      <c r="A43" s="12" t="n">
        <f aca="false">41*Inputs!$B$10*Inputs!$B$7</f>
        <v>41</v>
      </c>
      <c r="B43" s="12" t="n">
        <f aca="false">41*Inputs!$B$10</f>
        <v>41</v>
      </c>
      <c r="C43" s="12" t="n">
        <f aca="false">DEGREES(ASIN(MIN(MAX(Inputs!$B$5/Inputs!$B$6*SIN(RADIANS(A43)),-1),1)))</f>
        <v>8.45701045886715</v>
      </c>
      <c r="D43" s="12" t="n">
        <f aca="false">Inputs!$B$8+Inputs!$B$5*COS(RADIANS(A43))</f>
        <v>0.87923666095953</v>
      </c>
      <c r="E43" s="12" t="n">
        <f aca="false">Inputs!$B$9+Inputs!$B$5*SIN(RADIANS(A43))</f>
        <v>0.764308768773941</v>
      </c>
      <c r="F43" s="12" t="n">
        <f aca="false">-Inputs!$B$6*(1-COS(RADIANS(C43)))</f>
        <v>-0.0565096434313526</v>
      </c>
      <c r="G43" s="12" t="n">
        <f aca="false">C43*Inputs!$B$7</f>
        <v>8.45701045886715</v>
      </c>
      <c r="H43" s="12" t="n">
        <f aca="false">SQRT(D43^2+E43^2)</f>
        <v>1.165</v>
      </c>
    </row>
    <row r="44" customFormat="false" ht="15" hidden="false" customHeight="false" outlineLevel="0" collapsed="false">
      <c r="A44" s="12" t="n">
        <f aca="false">42*Inputs!$B$10*Inputs!$B$7</f>
        <v>42</v>
      </c>
      <c r="B44" s="12" t="n">
        <f aca="false">42*Inputs!$B$10</f>
        <v>42</v>
      </c>
      <c r="C44" s="12" t="n">
        <f aca="false">DEGREES(ASIN(MIN(MAX(Inputs!$B$5/Inputs!$B$6*SIN(RADIANS(A44)),-1),1)))</f>
        <v>8.62678334056514</v>
      </c>
      <c r="D44" s="12" t="n">
        <f aca="false">Inputs!$B$8+Inputs!$B$5*COS(RADIANS(A44))</f>
        <v>0.865763721681164</v>
      </c>
      <c r="E44" s="12" t="n">
        <f aca="false">Inputs!$B$9+Inputs!$B$5*SIN(RADIANS(A44))</f>
        <v>0.77953715640807</v>
      </c>
      <c r="F44" s="12" t="n">
        <f aca="false">-Inputs!$B$6*(1-COS(RADIANS(C44)))</f>
        <v>-0.0587969267671778</v>
      </c>
      <c r="G44" s="12" t="n">
        <f aca="false">C44*Inputs!$B$7</f>
        <v>8.62678334056514</v>
      </c>
      <c r="H44" s="12" t="n">
        <f aca="false">SQRT(D44^2+E44^2)</f>
        <v>1.165</v>
      </c>
    </row>
    <row r="45" customFormat="false" ht="15" hidden="false" customHeight="false" outlineLevel="0" collapsed="false">
      <c r="A45" s="12" t="n">
        <f aca="false">43*Inputs!$B$10*Inputs!$B$7</f>
        <v>43</v>
      </c>
      <c r="B45" s="12" t="n">
        <f aca="false">43*Inputs!$B$10</f>
        <v>43</v>
      </c>
      <c r="C45" s="12" t="n">
        <f aca="false">DEGREES(ASIN(MIN(MAX(Inputs!$B$5/Inputs!$B$6*SIN(RADIANS(A45)),-1),1)))</f>
        <v>8.79398354255097</v>
      </c>
      <c r="D45" s="12" t="n">
        <f aca="false">Inputs!$B$8+Inputs!$B$5*COS(RADIANS(A45))</f>
        <v>0.852027062386334</v>
      </c>
      <c r="E45" s="12" t="n">
        <f aca="false">Inputs!$B$9+Inputs!$B$5*SIN(RADIANS(A45))</f>
        <v>0.794528089472811</v>
      </c>
      <c r="F45" s="12" t="n">
        <f aca="false">-Inputs!$B$6*(1-COS(RADIANS(C45)))</f>
        <v>-0.0610936423023944</v>
      </c>
      <c r="G45" s="12" t="n">
        <f aca="false">C45*Inputs!$B$7</f>
        <v>8.79398354255097</v>
      </c>
      <c r="H45" s="12" t="n">
        <f aca="false">SQRT(D45^2+E45^2)</f>
        <v>1.165</v>
      </c>
    </row>
    <row r="46" customFormat="false" ht="15" hidden="false" customHeight="false" outlineLevel="0" collapsed="false">
      <c r="A46" s="12" t="n">
        <f aca="false">44*Inputs!$B$10*Inputs!$B$7</f>
        <v>44</v>
      </c>
      <c r="B46" s="12" t="n">
        <f aca="false">44*Inputs!$B$10</f>
        <v>44</v>
      </c>
      <c r="C46" s="12" t="n">
        <f aca="false">DEGREES(ASIN(MIN(MAX(Inputs!$B$5/Inputs!$B$6*SIN(RADIANS(A46)),-1),1)))</f>
        <v>8.95855807210191</v>
      </c>
      <c r="D46" s="12" t="n">
        <f aca="false">Inputs!$B$8+Inputs!$B$5*COS(RADIANS(A46))</f>
        <v>0.838030867394529</v>
      </c>
      <c r="E46" s="12" t="n">
        <f aca="false">Inputs!$B$9+Inputs!$B$5*SIN(RADIANS(A46))</f>
        <v>0.809277001584732</v>
      </c>
      <c r="F46" s="12" t="n">
        <f aca="false">-Inputs!$B$6*(1-COS(RADIANS(C46)))</f>
        <v>-0.0633970026202821</v>
      </c>
      <c r="G46" s="12" t="n">
        <f aca="false">C46*Inputs!$B$7</f>
        <v>8.95855807210191</v>
      </c>
      <c r="H46" s="12" t="n">
        <f aca="false">SQRT(D46^2+E46^2)</f>
        <v>1.165</v>
      </c>
    </row>
    <row r="47" customFormat="false" ht="15" hidden="false" customHeight="false" outlineLevel="0" collapsed="false">
      <c r="A47" s="12" t="n">
        <f aca="false">45*Inputs!$B$10*Inputs!$B$7</f>
        <v>45</v>
      </c>
      <c r="B47" s="12" t="n">
        <f aca="false">45*Inputs!$B$10</f>
        <v>45</v>
      </c>
      <c r="C47" s="12" t="n">
        <f aca="false">DEGREES(ASIN(MIN(MAX(Inputs!$B$5/Inputs!$B$6*SIN(RADIANS(A47)),-1),1)))</f>
        <v>9.12045458778378</v>
      </c>
      <c r="D47" s="12" t="n">
        <f aca="false">Inputs!$B$8+Inputs!$B$5*COS(RADIANS(A47))</f>
        <v>0.823779400082328</v>
      </c>
      <c r="E47" s="12" t="n">
        <f aca="false">Inputs!$B$9+Inputs!$B$5*SIN(RADIANS(A47))</f>
        <v>0.823779400082328</v>
      </c>
      <c r="F47" s="12" t="n">
        <f aca="false">-Inputs!$B$6*(1-COS(RADIANS(C47)))</f>
        <v>-0.065704208486905</v>
      </c>
      <c r="G47" s="12" t="n">
        <f aca="false">C47*Inputs!$B$7</f>
        <v>9.12045458778378</v>
      </c>
      <c r="H47" s="12" t="n">
        <f aca="false">SQRT(D47^2+E47^2)</f>
        <v>1.165</v>
      </c>
    </row>
    <row r="48" customFormat="false" ht="15" hidden="false" customHeight="false" outlineLevel="0" collapsed="false">
      <c r="A48" s="12" t="n">
        <f aca="false">46*Inputs!$B$10*Inputs!$B$7</f>
        <v>46</v>
      </c>
      <c r="B48" s="12" t="n">
        <f aca="false">46*Inputs!$B$10</f>
        <v>46</v>
      </c>
      <c r="C48" s="12" t="n">
        <f aca="false">DEGREES(ASIN(MIN(MAX(Inputs!$B$5/Inputs!$B$6*SIN(RADIANS(A48)),-1),1)))</f>
        <v>9.27962142104417</v>
      </c>
      <c r="D48" s="12" t="n">
        <f aca="false">Inputs!$B$8+Inputs!$B$5*COS(RADIANS(A48))</f>
        <v>0.809277001584732</v>
      </c>
      <c r="E48" s="12" t="n">
        <f aca="false">Inputs!$B$9+Inputs!$B$5*SIN(RADIANS(A48))</f>
        <v>0.838030867394529</v>
      </c>
      <c r="F48" s="12" t="n">
        <f aca="false">-Inputs!$B$6*(1-COS(RADIANS(C48)))</f>
        <v>-0.0680124522188619</v>
      </c>
      <c r="G48" s="12" t="n">
        <f aca="false">C48*Inputs!$B$7</f>
        <v>9.27962142104417</v>
      </c>
      <c r="H48" s="12" t="n">
        <f aca="false">SQRT(D48^2+E48^2)</f>
        <v>1.165</v>
      </c>
    </row>
    <row r="49" customFormat="false" ht="15" hidden="false" customHeight="false" outlineLevel="0" collapsed="false">
      <c r="A49" s="12" t="n">
        <f aca="false">47*Inputs!$B$10*Inputs!$B$7</f>
        <v>47</v>
      </c>
      <c r="B49" s="12" t="n">
        <f aca="false">47*Inputs!$B$10</f>
        <v>47</v>
      </c>
      <c r="C49" s="12" t="n">
        <f aca="false">DEGREES(ASIN(MIN(MAX(Inputs!$B$5/Inputs!$B$6*SIN(RADIANS(A49)),-1),1)))</f>
        <v>9.43600759801749</v>
      </c>
      <c r="D49" s="12" t="n">
        <f aca="false">Inputs!$B$8+Inputs!$B$5*COS(RADIANS(A49))</f>
        <v>0.794528089472811</v>
      </c>
      <c r="E49" s="12" t="n">
        <f aca="false">Inputs!$B$9+Inputs!$B$5*SIN(RADIANS(A49))</f>
        <v>0.852027062386334</v>
      </c>
      <c r="F49" s="12" t="n">
        <f aca="false">-Inputs!$B$6*(1-COS(RADIANS(C49)))</f>
        <v>-0.0703189210795145</v>
      </c>
      <c r="G49" s="12" t="n">
        <f aca="false">C49*Inputs!$B$7</f>
        <v>9.43600759801749</v>
      </c>
      <c r="H49" s="12" t="n">
        <f aca="false">SQRT(D49^2+E49^2)</f>
        <v>1.165</v>
      </c>
    </row>
    <row r="50" customFormat="false" ht="15" hidden="false" customHeight="false" outlineLevel="0" collapsed="false">
      <c r="A50" s="12" t="n">
        <f aca="false">48*Inputs!$B$10*Inputs!$B$7</f>
        <v>48</v>
      </c>
      <c r="B50" s="12" t="n">
        <f aca="false">48*Inputs!$B$10</f>
        <v>48</v>
      </c>
      <c r="C50" s="12" t="n">
        <f aca="false">DEGREES(ASIN(MIN(MAX(Inputs!$B$5/Inputs!$B$6*SIN(RADIANS(A50)),-1),1)))</f>
        <v>9.58956286152171</v>
      </c>
      <c r="D50" s="12" t="n">
        <f aca="false">Inputs!$B$8+Inputs!$B$5*COS(RADIANS(A50))</f>
        <v>0.77953715640807</v>
      </c>
      <c r="E50" s="12" t="n">
        <f aca="false">Inputs!$B$9+Inputs!$B$5*SIN(RADIANS(A50))</f>
        <v>0.865763721681164</v>
      </c>
      <c r="F50" s="12" t="n">
        <f aca="false">-Inputs!$B$6*(1-COS(RADIANS(C50)))</f>
        <v>-0.0726208006997784</v>
      </c>
      <c r="G50" s="12" t="n">
        <f aca="false">C50*Inputs!$B$7</f>
        <v>9.58956286152171</v>
      </c>
      <c r="H50" s="12" t="n">
        <f aca="false">SQRT(D50^2+E50^2)</f>
        <v>1.165</v>
      </c>
    </row>
    <row r="51" customFormat="false" ht="15" hidden="false" customHeight="false" outlineLevel="0" collapsed="false">
      <c r="A51" s="12" t="n">
        <f aca="false">49*Inputs!$B$10*Inputs!$B$7</f>
        <v>49</v>
      </c>
      <c r="B51" s="12" t="n">
        <f aca="false">49*Inputs!$B$10</f>
        <v>49</v>
      </c>
      <c r="C51" s="12" t="n">
        <f aca="false">DEGREES(ASIN(MIN(MAX(Inputs!$B$5/Inputs!$B$6*SIN(RADIANS(A51)),-1),1)))</f>
        <v>9.74023769322512</v>
      </c>
      <c r="D51" s="12" t="n">
        <f aca="false">Inputs!$B$8+Inputs!$B$5*COS(RADIANS(A51))</f>
        <v>0.764308768773941</v>
      </c>
      <c r="E51" s="12" t="n">
        <f aca="false">Inputs!$B$9+Inputs!$B$5*SIN(RADIANS(A51))</f>
        <v>0.879236660959529</v>
      </c>
      <c r="F51" s="12" t="n">
        <f aca="false">-Inputs!$B$6*(1-COS(RADIANS(C51)))</f>
        <v>-0.074915278519425</v>
      </c>
      <c r="G51" s="12" t="n">
        <f aca="false">C51*Inputs!$B$7</f>
        <v>9.74023769322512</v>
      </c>
      <c r="H51" s="12" t="n">
        <f aca="false">SQRT(D51^2+E51^2)</f>
        <v>1.165</v>
      </c>
    </row>
    <row r="52" customFormat="false" ht="15" hidden="false" customHeight="false" outlineLevel="0" collapsed="false">
      <c r="A52" s="12" t="n">
        <f aca="false">50*Inputs!$B$10*Inputs!$B$7</f>
        <v>50</v>
      </c>
      <c r="B52" s="12" t="n">
        <f aca="false">50*Inputs!$B$10</f>
        <v>50</v>
      </c>
      <c r="C52" s="12" t="n">
        <f aca="false">DEGREES(ASIN(MIN(MAX(Inputs!$B$5/Inputs!$B$6*SIN(RADIANS(A52)),-1),1)))</f>
        <v>9.88798333596029</v>
      </c>
      <c r="D52" s="12" t="n">
        <f aca="false">Inputs!$B$8+Inputs!$B$5*COS(RADIANS(A52))</f>
        <v>0.748847565284818</v>
      </c>
      <c r="E52" s="12" t="n">
        <f aca="false">Inputs!$B$9+Inputs!$B$5*SIN(RADIANS(A52))</f>
        <v>0.892441776233609</v>
      </c>
      <c r="F52" s="12" t="n">
        <f aca="false">-Inputs!$B$6*(1-COS(RADIANS(C52)))</f>
        <v>-0.0771995472447364</v>
      </c>
      <c r="G52" s="12" t="n">
        <f aca="false">C52*Inputs!$B$7</f>
        <v>9.88798333596029</v>
      </c>
      <c r="H52" s="12" t="n">
        <f aca="false">SQRT(D52^2+E52^2)</f>
        <v>1.165</v>
      </c>
    </row>
    <row r="53" customFormat="false" ht="15" hidden="false" customHeight="false" outlineLevel="0" collapsed="false">
      <c r="A53" s="12" t="n">
        <f aca="false">51*Inputs!$B$10*Inputs!$B$7</f>
        <v>51</v>
      </c>
      <c r="B53" s="12" t="n">
        <f aca="false">51*Inputs!$B$10</f>
        <v>51</v>
      </c>
      <c r="C53" s="12" t="n">
        <f aca="false">DEGREES(ASIN(MIN(MAX(Inputs!$B$5/Inputs!$B$6*SIN(RADIANS(A53)),-1),1)))</f>
        <v>10.0327518161609</v>
      </c>
      <c r="D53" s="12" t="n">
        <f aca="false">Inputs!$B$8+Inputs!$B$5*COS(RADIANS(A53))</f>
        <v>0.733158255573061</v>
      </c>
      <c r="E53" s="12" t="n">
        <f aca="false">Inputs!$B$9+Inputs!$B$5*SIN(RADIANS(A53))</f>
        <v>0.905375045097371</v>
      </c>
      <c r="F53" s="12" t="n">
        <f aca="false">-Inputs!$B$6*(1-COS(RADIANS(C53)))</f>
        <v>-0.0794708083182435</v>
      </c>
      <c r="G53" s="12" t="n">
        <f aca="false">C53*Inputs!$B$7</f>
        <v>10.0327518161609</v>
      </c>
      <c r="H53" s="12" t="n">
        <f aca="false">SQRT(D53^2+E53^2)</f>
        <v>1.165</v>
      </c>
    </row>
    <row r="54" customFormat="false" ht="15" hidden="false" customHeight="false" outlineLevel="0" collapsed="false">
      <c r="A54" s="12" t="n">
        <f aca="false">52*Inputs!$B$10*Inputs!$B$7</f>
        <v>52</v>
      </c>
      <c r="B54" s="12" t="n">
        <f aca="false">52*Inputs!$B$10</f>
        <v>52</v>
      </c>
      <c r="C54" s="12" t="n">
        <f aca="false">DEGREES(ASIN(MIN(MAX(Inputs!$B$5/Inputs!$B$6*SIN(RADIANS(A54)),-1),1)))</f>
        <v>10.1744959663959</v>
      </c>
      <c r="D54" s="12" t="n">
        <f aca="false">Inputs!$B$8+Inputs!$B$5*COS(RADIANS(A54))</f>
        <v>0.717245618754392</v>
      </c>
      <c r="E54" s="12" t="n">
        <f aca="false">Inputs!$B$9+Inputs!$B$5*SIN(RADIANS(A54))</f>
        <v>0.918032527951831</v>
      </c>
      <c r="F54" s="12" t="n">
        <f aca="false">-Inputs!$B$6*(1-COS(RADIANS(C54)))</f>
        <v>-0.0817262753961668</v>
      </c>
      <c r="G54" s="12" t="n">
        <f aca="false">C54*Inputs!$B$7</f>
        <v>10.1744959663959</v>
      </c>
      <c r="H54" s="12" t="n">
        <f aca="false">SQRT(D54^2+E54^2)</f>
        <v>1.165</v>
      </c>
    </row>
    <row r="55" customFormat="false" ht="15" hidden="false" customHeight="false" outlineLevel="0" collapsed="false">
      <c r="A55" s="12" t="n">
        <f aca="false">53*Inputs!$B$10*Inputs!$B$7</f>
        <v>53</v>
      </c>
      <c r="B55" s="12" t="n">
        <f aca="false">53*Inputs!$B$10</f>
        <v>53</v>
      </c>
      <c r="C55" s="12" t="n">
        <f aca="false">DEGREES(ASIN(MIN(MAX(Inputs!$B$5/Inputs!$B$6*SIN(RADIANS(A55)),-1),1)))</f>
        <v>10.3131694479746</v>
      </c>
      <c r="D55" s="12" t="n">
        <f aca="false">Inputs!$B$8+Inputs!$B$5*COS(RADIANS(A55))</f>
        <v>0.701114501972136</v>
      </c>
      <c r="E55" s="12" t="n">
        <f aca="false">Inputs!$B$9+Inputs!$B$5*SIN(RADIANS(A55))</f>
        <v>0.930410369205096</v>
      </c>
      <c r="F55" s="12" t="n">
        <f aca="false">-Inputs!$B$6*(1-COS(RADIANS(C55)))</f>
        <v>-0.0839631778290863</v>
      </c>
      <c r="G55" s="12" t="n">
        <f aca="false">C55*Inputs!$B$7</f>
        <v>10.3131694479746</v>
      </c>
      <c r="H55" s="12" t="n">
        <f aca="false">SQRT(D55^2+E55^2)</f>
        <v>1.165</v>
      </c>
    </row>
    <row r="56" customFormat="false" ht="15" hidden="false" customHeight="false" outlineLevel="0" collapsed="false">
      <c r="A56" s="12" t="n">
        <f aca="false">54*Inputs!$B$10*Inputs!$B$7</f>
        <v>54</v>
      </c>
      <c r="B56" s="12" t="n">
        <f aca="false">54*Inputs!$B$10</f>
        <v>54</v>
      </c>
      <c r="C56" s="12" t="n">
        <f aca="false">DEGREES(ASIN(MIN(MAX(Inputs!$B$5/Inputs!$B$6*SIN(RADIANS(A56)),-1),1)))</f>
        <v>10.4487267735937</v>
      </c>
      <c r="D56" s="12" t="n">
        <f aca="false">Inputs!$B$8+Inputs!$B$5*COS(RADIANS(A56))</f>
        <v>0.684769818920731</v>
      </c>
      <c r="E56" s="12" t="n">
        <f aca="false">Inputs!$B$9+Inputs!$B$5*SIN(RADIANS(A56))</f>
        <v>0.942504798446814</v>
      </c>
      <c r="F56" s="12" t="n">
        <f aca="false">-Inputs!$B$6*(1-COS(RADIANS(C56)))</f>
        <v>-0.0861787641412527</v>
      </c>
      <c r="G56" s="12" t="n">
        <f aca="false">C56*Inputs!$B$7</f>
        <v>10.4487267735937</v>
      </c>
      <c r="H56" s="12" t="n">
        <f aca="false">SQRT(D56^2+E56^2)</f>
        <v>1.165</v>
      </c>
    </row>
    <row r="57" customFormat="false" ht="15" hidden="false" customHeight="false" outlineLevel="0" collapsed="false">
      <c r="A57" s="12" t="n">
        <f aca="false">55*Inputs!$B$10*Inputs!$B$7</f>
        <v>55</v>
      </c>
      <c r="B57" s="12" t="n">
        <f aca="false">55*Inputs!$B$10</f>
        <v>55</v>
      </c>
      <c r="C57" s="12" t="n">
        <f aca="false">DEGREES(ASIN(MIN(MAX(Inputs!$B$5/Inputs!$B$6*SIN(RADIANS(A57)),-1),1)))</f>
        <v>10.5811233299994</v>
      </c>
      <c r="D57" s="12" t="n">
        <f aca="false">Inputs!$B$8+Inputs!$B$5*COS(RADIANS(A57))</f>
        <v>0.668216548348969</v>
      </c>
      <c r="E57" s="12" t="n">
        <f aca="false">Inputs!$B$9+Inputs!$B$5*SIN(RADIANS(A57))</f>
        <v>0.954312131596676</v>
      </c>
      <c r="F57" s="12" t="n">
        <f aca="false">-Inputs!$B$6*(1-COS(RADIANS(C57)))</f>
        <v>-0.088370305503891</v>
      </c>
      <c r="G57" s="12" t="n">
        <f aca="false">C57*Inputs!$B$7</f>
        <v>10.5811233299994</v>
      </c>
      <c r="H57" s="12" t="n">
        <f aca="false">SQRT(D57^2+E57^2)</f>
        <v>1.165</v>
      </c>
    </row>
    <row r="58" customFormat="false" ht="15" hidden="false" customHeight="false" outlineLevel="0" collapsed="false">
      <c r="A58" s="12" t="n">
        <f aca="false">56*Inputs!$B$10*Inputs!$B$7</f>
        <v>56</v>
      </c>
      <c r="B58" s="12" t="n">
        <f aca="false">56*Inputs!$B$10</f>
        <v>56</v>
      </c>
      <c r="C58" s="12" t="n">
        <f aca="false">DEGREES(ASIN(MIN(MAX(Inputs!$B$5/Inputs!$B$6*SIN(RADIANS(A58)),-1),1)))</f>
        <v>10.7103154006313</v>
      </c>
      <c r="D58" s="12" t="n">
        <f aca="false">Inputs!$B$8+Inputs!$B$5*COS(RADIANS(A58))</f>
        <v>0.65145973254342</v>
      </c>
      <c r="E58" s="12" t="n">
        <f aca="false">Inputs!$B$9+Inputs!$B$5*SIN(RADIANS(A58))</f>
        <v>0.965828772026624</v>
      </c>
      <c r="F58" s="12" t="n">
        <f aca="false">-Inputs!$B$6*(1-COS(RADIANS(C58)))</f>
        <v>-0.0905350991977294</v>
      </c>
      <c r="G58" s="12" t="n">
        <f aca="false">C58*Inputs!$B$7</f>
        <v>10.7103154006313</v>
      </c>
      <c r="H58" s="12" t="n">
        <f aca="false">SQRT(D58^2+E58^2)</f>
        <v>1.165</v>
      </c>
    </row>
    <row r="59" customFormat="false" ht="15" hidden="false" customHeight="false" outlineLevel="0" collapsed="false">
      <c r="A59" s="12" t="n">
        <f aca="false">57*Inputs!$B$10*Inputs!$B$7</f>
        <v>57</v>
      </c>
      <c r="B59" s="12" t="n">
        <f aca="false">57*Inputs!$B$10</f>
        <v>57</v>
      </c>
      <c r="C59" s="12" t="n">
        <f aca="false">DEGREES(ASIN(MIN(MAX(Inputs!$B$5/Inputs!$B$6*SIN(RADIANS(A59)),-1),1)))</f>
        <v>10.8362601882202</v>
      </c>
      <c r="D59" s="12" t="n">
        <f aca="false">Inputs!$B$8+Inputs!$B$5*COS(RADIANS(A59))</f>
        <v>0.634504475792507</v>
      </c>
      <c r="E59" s="12" t="n">
        <f aca="false">Inputs!$B$9+Inputs!$B$5*SIN(RADIANS(A59))</f>
        <v>0.977051211656419</v>
      </c>
      <c r="F59" s="12" t="n">
        <f aca="false">-Inputs!$B$6*(1-COS(RADIANS(C59)))</f>
        <v>-0.0926704720599472</v>
      </c>
      <c r="G59" s="12" t="n">
        <f aca="false">C59*Inputs!$B$7</f>
        <v>10.8362601882202</v>
      </c>
      <c r="H59" s="12" t="n">
        <f aca="false">SQRT(D59^2+E59^2)</f>
        <v>1.165</v>
      </c>
    </row>
    <row r="60" customFormat="false" ht="15" hidden="false" customHeight="false" outlineLevel="0" collapsed="false">
      <c r="A60" s="12" t="n">
        <f aca="false">58*Inputs!$B$10*Inputs!$B$7</f>
        <v>58</v>
      </c>
      <c r="B60" s="12" t="n">
        <f aca="false">58*Inputs!$B$10</f>
        <v>58</v>
      </c>
      <c r="C60" s="12" t="n">
        <f aca="false">DEGREES(ASIN(MIN(MAX(Inputs!$B$5/Inputs!$B$6*SIN(RADIANS(A60)),-1),1)))</f>
        <v>10.9589158373049</v>
      </c>
      <c r="D60" s="12" t="n">
        <f aca="false">Inputs!$B$8+Inputs!$B$5*COS(RADIANS(A60))</f>
        <v>0.617355942831684</v>
      </c>
      <c r="E60" s="12" t="n">
        <f aca="false">Inputs!$B$9+Inputs!$B$5*SIN(RADIANS(A60))</f>
        <v>0.987976032022236</v>
      </c>
      <c r="F60" s="12" t="n">
        <f aca="false">-Inputs!$B$6*(1-COS(RADIANS(C60)))</f>
        <v>-0.0947737839106353</v>
      </c>
      <c r="G60" s="12" t="n">
        <f aca="false">C60*Inputs!$B$7</f>
        <v>10.9589158373049</v>
      </c>
      <c r="H60" s="12" t="n">
        <f aca="false">SQRT(D60^2+E60^2)</f>
        <v>1.165</v>
      </c>
    </row>
    <row r="61" customFormat="false" ht="15" hidden="false" customHeight="false" outlineLevel="0" collapsed="false">
      <c r="A61" s="12" t="n">
        <f aca="false">59*Inputs!$B$10*Inputs!$B$7</f>
        <v>59</v>
      </c>
      <c r="B61" s="12" t="n">
        <f aca="false">59*Inputs!$B$10</f>
        <v>59</v>
      </c>
      <c r="C61" s="12" t="n">
        <f aca="false">DEGREES(ASIN(MIN(MAX(Inputs!$B$5/Inputs!$B$6*SIN(RADIANS(A61)),-1),1)))</f>
        <v>11.0782414566374</v>
      </c>
      <c r="D61" s="12" t="n">
        <f aca="false">Inputs!$B$8+Inputs!$B$5*COS(RADIANS(A61))</f>
        <v>0.600019357270213</v>
      </c>
      <c r="E61" s="12" t="n">
        <f aca="false">Inputs!$B$9+Inputs!$B$5*SIN(RADIANS(A61))</f>
        <v>0.998599905317961</v>
      </c>
      <c r="F61" s="12" t="n">
        <f aca="false">-Inputs!$B$6*(1-COS(RADIANS(C61)))</f>
        <v>-0.096842430953828</v>
      </c>
      <c r="G61" s="12" t="n">
        <f aca="false">C61*Inputs!$B$7</f>
        <v>11.0782414566374</v>
      </c>
      <c r="H61" s="12" t="n">
        <f aca="false">SQRT(D61^2+E61^2)</f>
        <v>1.165</v>
      </c>
    </row>
    <row r="62" customFormat="false" ht="15" hidden="false" customHeight="false" outlineLevel="0" collapsed="false">
      <c r="A62" s="12" t="n">
        <f aca="false">60*Inputs!$B$10*Inputs!$B$7</f>
        <v>60</v>
      </c>
      <c r="B62" s="12" t="n">
        <f aca="false">60*Inputs!$B$10</f>
        <v>60</v>
      </c>
      <c r="C62" s="12" t="n">
        <f aca="false">DEGREES(ASIN(MIN(MAX(Inputs!$B$5/Inputs!$B$6*SIN(RADIANS(A62)),-1),1)))</f>
        <v>11.1941971414408</v>
      </c>
      <c r="D62" s="12" t="n">
        <f aca="false">Inputs!$B$8+Inputs!$B$5*COS(RADIANS(A62))</f>
        <v>0.5825</v>
      </c>
      <c r="E62" s="12" t="n">
        <f aca="false">Inputs!$B$9+Inputs!$B$5*SIN(RADIANS(A62))</f>
        <v>1.00891959540887</v>
      </c>
      <c r="F62" s="12" t="n">
        <f aca="false">-Inputs!$B$6*(1-COS(RADIANS(C62)))</f>
        <v>-0.0988738491481011</v>
      </c>
      <c r="G62" s="12" t="n">
        <f aca="false">C62*Inputs!$B$7</f>
        <v>11.1941971414408</v>
      </c>
      <c r="H62" s="12" t="n">
        <f aca="false">SQRT(D62^2+E62^2)</f>
        <v>1.165</v>
      </c>
    </row>
    <row r="63" customFormat="false" ht="15" hidden="false" customHeight="false" outlineLevel="0" collapsed="false">
      <c r="A63" s="12" t="n">
        <f aca="false">61*Inputs!$B$10*Inputs!$B$7</f>
        <v>61</v>
      </c>
      <c r="B63" s="12" t="n">
        <f aca="false">61*Inputs!$B$10</f>
        <v>61</v>
      </c>
      <c r="C63" s="12" t="n">
        <f aca="false">DEGREES(ASIN(MIN(MAX(Inputs!$B$5/Inputs!$B$6*SIN(RADIANS(A63)),-1),1)))</f>
        <v>11.3067439954866</v>
      </c>
      <c r="D63" s="12" t="n">
        <f aca="false">Inputs!$B$8+Inputs!$B$5*COS(RADIANS(A63))</f>
        <v>0.564803207586983</v>
      </c>
      <c r="E63" s="12" t="n">
        <f aca="false">Inputs!$B$9+Inputs!$B$5*SIN(RADIANS(A63))</f>
        <v>1.0189319588174</v>
      </c>
      <c r="F63" s="12" t="n">
        <f aca="false">-Inputs!$B$6*(1-COS(RADIANS(C63)))</f>
        <v>-0.100865517541698</v>
      </c>
      <c r="G63" s="12" t="n">
        <f aca="false">C63*Inputs!$B$7</f>
        <v>11.3067439954866</v>
      </c>
      <c r="H63" s="12" t="n">
        <f aca="false">SQRT(D63^2+E63^2)</f>
        <v>1.165</v>
      </c>
    </row>
    <row r="64" customFormat="false" ht="15" hidden="false" customHeight="false" outlineLevel="0" collapsed="false">
      <c r="A64" s="12" t="n">
        <f aca="false">62*Inputs!$B$10*Inputs!$B$7</f>
        <v>62</v>
      </c>
      <c r="B64" s="12" t="n">
        <f aca="false">62*Inputs!$B$10</f>
        <v>62</v>
      </c>
      <c r="C64" s="12" t="n">
        <f aca="false">DEGREES(ASIN(MIN(MAX(Inputs!$B$5/Inputs!$B$6*SIN(RADIANS(A64)),-1),1)))</f>
        <v>11.4158441529558</v>
      </c>
      <c r="D64" s="12" t="n">
        <f aca="false">Inputs!$B$8+Inputs!$B$5*COS(RADIANS(A64))</f>
        <v>0.546934370645563</v>
      </c>
      <c r="E64" s="12" t="n">
        <f aca="false">Inputs!$B$9+Inputs!$B$5*SIN(RADIANS(A64))</f>
        <v>1.02863394568065</v>
      </c>
      <c r="F64" s="12" t="n">
        <f aca="false">-Inputs!$B$6*(1-COS(RADIANS(C64)))</f>
        <v>-0.102814961567114</v>
      </c>
      <c r="G64" s="12" t="n">
        <f aca="false">C64*Inputs!$B$7</f>
        <v>11.4158441529558</v>
      </c>
      <c r="H64" s="12" t="n">
        <f aca="false">SQRT(D64^2+E64^2)</f>
        <v>1.165</v>
      </c>
    </row>
    <row r="65" customFormat="false" ht="15" hidden="false" customHeight="false" outlineLevel="0" collapsed="false">
      <c r="A65" s="12" t="n">
        <f aca="false">63*Inputs!$B$10*Inputs!$B$7</f>
        <v>63</v>
      </c>
      <c r="B65" s="12" t="n">
        <f aca="false">63*Inputs!$B$10</f>
        <v>63</v>
      </c>
      <c r="C65" s="12" t="n">
        <f aca="false">DEGREES(ASIN(MIN(MAX(Inputs!$B$5/Inputs!$B$6*SIN(RADIANS(A65)),-1),1)))</f>
        <v>11.5214608000484</v>
      </c>
      <c r="D65" s="12" t="n">
        <f aca="false">Inputs!$B$8+Inputs!$B$5*COS(RADIANS(A65))</f>
        <v>0.528898932196572</v>
      </c>
      <c r="E65" s="12" t="n">
        <f aca="false">Inputs!$B$9+Inputs!$B$5*SIN(RADIANS(A65))</f>
        <v>1.03802260067945</v>
      </c>
      <c r="F65" s="12" t="n">
        <f aca="false">-Inputs!$B$6*(1-COS(RADIANS(C65)))</f>
        <v>-0.104719756290049</v>
      </c>
      <c r="G65" s="12" t="n">
        <f aca="false">C65*Inputs!$B$7</f>
        <v>11.5214608000484</v>
      </c>
      <c r="H65" s="12" t="n">
        <f aca="false">SQRT(D65^2+E65^2)</f>
        <v>1.165</v>
      </c>
    </row>
    <row r="66" customFormat="false" ht="15" hidden="false" customHeight="false" outlineLevel="0" collapsed="false">
      <c r="A66" s="12" t="n">
        <f aca="false">64*Inputs!$B$10*Inputs!$B$7</f>
        <v>64</v>
      </c>
      <c r="B66" s="12" t="n">
        <f aca="false">64*Inputs!$B$10</f>
        <v>64</v>
      </c>
      <c r="C66" s="12" t="n">
        <f aca="false">DEGREES(ASIN(MIN(MAX(Inputs!$B$5/Inputs!$B$6*SIN(RADIANS(A66)),-1),1)))</f>
        <v>11.6235581963057</v>
      </c>
      <c r="D66" s="12" t="n">
        <f aca="false">Inputs!$B$8+Inputs!$B$5*COS(RADIANS(A66))</f>
        <v>0.510702386009275</v>
      </c>
      <c r="E66" s="12" t="n">
        <f aca="false">Inputs!$B$9+Inputs!$B$5*SIN(RADIANS(A66))</f>
        <v>1.04709506393853</v>
      </c>
      <c r="F66" s="12" t="n">
        <f aca="false">-Inputs!$B$6*(1-COS(RADIANS(C66)))</f>
        <v>-0.106577529607629</v>
      </c>
      <c r="G66" s="12" t="n">
        <f aca="false">C66*Inputs!$B$7</f>
        <v>11.6235581963057</v>
      </c>
      <c r="H66" s="12" t="n">
        <f aca="false">SQRT(D66^2+E66^2)</f>
        <v>1.165</v>
      </c>
    </row>
    <row r="67" customFormat="false" ht="15" hidden="false" customHeight="false" outlineLevel="0" collapsed="false">
      <c r="A67" s="12" t="n">
        <f aca="false">65*Inputs!$B$10*Inputs!$B$7</f>
        <v>65</v>
      </c>
      <c r="B67" s="12" t="n">
        <f aca="false">65*Inputs!$B$10</f>
        <v>65</v>
      </c>
      <c r="C67" s="12" t="n">
        <f aca="false">DEGREES(ASIN(MIN(MAX(Inputs!$B$5/Inputs!$B$6*SIN(RADIANS(A67)),-1),1)))</f>
        <v>11.7221016956075</v>
      </c>
      <c r="D67" s="12" t="n">
        <f aca="false">Inputs!$B$8+Inputs!$B$5*COS(RADIANS(A67))</f>
        <v>0.492350274927915</v>
      </c>
      <c r="E67" s="12" t="n">
        <f aca="false">Inputs!$B$9+Inputs!$B$5*SIN(RADIANS(A67))</f>
        <v>1.0558485718977</v>
      </c>
      <c r="F67" s="12" t="n">
        <f aca="false">-Inputs!$B$6*(1-COS(RADIANS(C67)))</f>
        <v>-0.108385965390812</v>
      </c>
      <c r="G67" s="12" t="n">
        <f aca="false">C67*Inputs!$B$7</f>
        <v>11.7221016956075</v>
      </c>
      <c r="H67" s="12" t="n">
        <f aca="false">SQRT(D67^2+E67^2)</f>
        <v>1.165</v>
      </c>
    </row>
    <row r="68" customFormat="false" ht="15" hidden="false" customHeight="false" outlineLevel="0" collapsed="false">
      <c r="A68" s="12" t="n">
        <f aca="false">66*Inputs!$B$10*Inputs!$B$7</f>
        <v>66</v>
      </c>
      <c r="B68" s="12" t="n">
        <f aca="false">66*Inputs!$B$10</f>
        <v>66</v>
      </c>
      <c r="C68" s="12" t="n">
        <f aca="false">DEGREES(ASIN(MIN(MAX(Inputs!$B$5/Inputs!$B$6*SIN(RADIANS(A68)),-1),1)))</f>
        <v>11.8170577668095</v>
      </c>
      <c r="D68" s="12" t="n">
        <f aca="false">Inputs!$B$8+Inputs!$B$5*COS(RADIANS(A68))</f>
        <v>0.473848189183307</v>
      </c>
      <c r="E68" s="12" t="n">
        <f aca="false">Inputs!$B$9+Inputs!$B$5*SIN(RADIANS(A68))</f>
        <v>1.06428045815363</v>
      </c>
      <c r="F68" s="12" t="n">
        <f aca="false">-Inputs!$B$6*(1-COS(RADIANS(C68)))</f>
        <v>-0.110142806565895</v>
      </c>
      <c r="G68" s="12" t="n">
        <f aca="false">C68*Inputs!$B$7</f>
        <v>11.8170577668095</v>
      </c>
      <c r="H68" s="12" t="n">
        <f aca="false">SQRT(D68^2+E68^2)</f>
        <v>1.165</v>
      </c>
    </row>
    <row r="69" customFormat="false" ht="15" hidden="false" customHeight="false" outlineLevel="0" collapsed="false">
      <c r="A69" s="12" t="n">
        <f aca="false">67*Inputs!$B$10*Inputs!$B$7</f>
        <v>67</v>
      </c>
      <c r="B69" s="12" t="n">
        <f aca="false">67*Inputs!$B$10</f>
        <v>67</v>
      </c>
      <c r="C69" s="12" t="n">
        <f aca="false">DEGREES(ASIN(MIN(MAX(Inputs!$B$5/Inputs!$B$6*SIN(RADIANS(A69)),-1),1)))</f>
        <v>11.9083940139834</v>
      </c>
      <c r="D69" s="12" t="n">
        <f aca="false">Inputs!$B$8+Inputs!$B$5*COS(RADIANS(A69))</f>
        <v>0.455201764690004</v>
      </c>
      <c r="E69" s="12" t="n">
        <f aca="false">Inputs!$B$9+Inputs!$B$5*SIN(RADIANS(A69))</f>
        <v>1.07238815427209</v>
      </c>
      <c r="F69" s="12" t="n">
        <f aca="false">-Inputs!$B$6*(1-COS(RADIANS(C69)))</f>
        <v>-0.111845858130071</v>
      </c>
      <c r="G69" s="12" t="n">
        <f aca="false">C69*Inputs!$B$7</f>
        <v>11.9083940139834</v>
      </c>
      <c r="H69" s="12" t="n">
        <f aca="false">SQRT(D69^2+E69^2)</f>
        <v>1.165</v>
      </c>
    </row>
    <row r="70" customFormat="false" ht="15" hidden="false" customHeight="false" outlineLevel="0" collapsed="false">
      <c r="A70" s="12" t="n">
        <f aca="false">68*Inputs!$B$10*Inputs!$B$7</f>
        <v>68</v>
      </c>
      <c r="B70" s="12" t="n">
        <f aca="false">68*Inputs!$B$10</f>
        <v>68</v>
      </c>
      <c r="C70" s="12" t="n">
        <f aca="false">DEGREES(ASIN(MIN(MAX(Inputs!$B$5/Inputs!$B$6*SIN(RADIANS(A70)),-1),1)))</f>
        <v>11.9960791962229</v>
      </c>
      <c r="D70" s="12" t="n">
        <f aca="false">Inputs!$B$8+Inputs!$B$5*COS(RADIANS(A70))</f>
        <v>0.436416681329538</v>
      </c>
      <c r="E70" s="12" t="n">
        <f aca="false">Inputs!$B$9+Inputs!$B$5*SIN(RADIANS(A70))</f>
        <v>1.08016919057031</v>
      </c>
      <c r="F70" s="12" t="n">
        <f aca="false">-Inputs!$B$6*(1-COS(RADIANS(C70)))</f>
        <v>-0.113492990096041</v>
      </c>
      <c r="G70" s="12" t="n">
        <f aca="false">C70*Inputs!$B$7</f>
        <v>11.9960791962229</v>
      </c>
      <c r="H70" s="12" t="n">
        <f aca="false">SQRT(D70^2+E70^2)</f>
        <v>1.165</v>
      </c>
    </row>
    <row r="71" customFormat="false" ht="15" hidden="false" customHeight="false" outlineLevel="0" collapsed="false">
      <c r="A71" s="12" t="n">
        <f aca="false">69*Inputs!$B$10*Inputs!$B$7</f>
        <v>69</v>
      </c>
      <c r="B71" s="12" t="n">
        <f aca="false">69*Inputs!$B$10</f>
        <v>69</v>
      </c>
      <c r="C71" s="12" t="n">
        <f aca="false">DEGREES(ASIN(MIN(MAX(Inputs!$B$5/Inputs!$B$6*SIN(RADIANS(A71)),-1),1)))</f>
        <v>12.0800832469791</v>
      </c>
      <c r="D71" s="12" t="n">
        <f aca="false">Inputs!$B$8+Inputs!$B$5*COS(RADIANS(A71))</f>
        <v>0.417498661220275</v>
      </c>
      <c r="E71" s="12" t="n">
        <f aca="false">Inputs!$B$9+Inputs!$B$5*SIN(RADIANS(A71))</f>
        <v>1.08762119686924</v>
      </c>
      <c r="F71" s="12" t="n">
        <f aca="false">-Inputs!$B$6*(1-COS(RADIANS(C71)))</f>
        <v>-0.115082140360716</v>
      </c>
      <c r="G71" s="12" t="n">
        <f aca="false">C71*Inputs!$B$7</f>
        <v>12.0800832469791</v>
      </c>
      <c r="H71" s="12" t="n">
        <f aca="false">SQRT(D71^2+E71^2)</f>
        <v>1.165</v>
      </c>
    </row>
    <row r="72" customFormat="false" ht="15" hidden="false" customHeight="false" outlineLevel="0" collapsed="false">
      <c r="A72" s="12" t="n">
        <f aca="false">70*Inputs!$B$10*Inputs!$B$7</f>
        <v>70</v>
      </c>
      <c r="B72" s="12" t="n">
        <f aca="false">70*Inputs!$B$10</f>
        <v>70</v>
      </c>
      <c r="C72" s="12" t="n">
        <f aca="false">DEGREES(ASIN(MIN(MAX(Inputs!$B$5/Inputs!$B$6*SIN(RADIANS(A72)),-1),1)))</f>
        <v>12.1603772928898</v>
      </c>
      <c r="D72" s="12" t="n">
        <f aca="false">Inputs!$B$8+Inputs!$B$5*COS(RADIANS(A72))</f>
        <v>0.398453466974404</v>
      </c>
      <c r="E72" s="12" t="n">
        <f aca="false">Inputs!$B$9+Inputs!$B$5*SIN(RADIANS(A72))</f>
        <v>1.09474190321558</v>
      </c>
      <c r="F72" s="12" t="n">
        <f aca="false">-Inputs!$B$6*(1-COS(RADIANS(C72)))</f>
        <v>-0.116611317493127</v>
      </c>
      <c r="G72" s="12" t="n">
        <f aca="false">C72*Inputs!$B$7</f>
        <v>12.1603772928898</v>
      </c>
      <c r="H72" s="12" t="n">
        <f aca="false">SQRT(D72^2+E72^2)</f>
        <v>1.165</v>
      </c>
    </row>
    <row r="73" customFormat="false" ht="15" hidden="false" customHeight="false" outlineLevel="0" collapsed="false">
      <c r="A73" s="12" t="n">
        <f aca="false">71*Inputs!$B$10*Inputs!$B$7</f>
        <v>71</v>
      </c>
      <c r="B73" s="12" t="n">
        <f aca="false">71*Inputs!$B$10</f>
        <v>71</v>
      </c>
      <c r="C73" s="12" t="n">
        <f aca="false">DEGREES(ASIN(MIN(MAX(Inputs!$B$5/Inputs!$B$6*SIN(RADIANS(A73)),-1),1)))</f>
        <v>12.2369336720656</v>
      </c>
      <c r="D73" s="12" t="n">
        <f aca="false">Inputs!$B$8+Inputs!$B$5*COS(RADIANS(A73))</f>
        <v>0.379286899942588</v>
      </c>
      <c r="E73" s="12" t="n">
        <f aca="false">Inputs!$B$9+Inputs!$B$5*SIN(RADIANS(A73))</f>
        <v>1.1015291405732</v>
      </c>
      <c r="F73" s="12" t="n">
        <f aca="false">-Inputs!$B$6*(1-COS(RADIANS(C73)))</f>
        <v>-0.118078603436744</v>
      </c>
      <c r="G73" s="12" t="n">
        <f aca="false">C73*Inputs!$B$7</f>
        <v>12.2369336720656</v>
      </c>
      <c r="H73" s="12" t="n">
        <f aca="false">SQRT(D73^2+E73^2)</f>
        <v>1.165</v>
      </c>
    </row>
    <row r="74" customFormat="false" ht="15" hidden="false" customHeight="false" outlineLevel="0" collapsed="false">
      <c r="A74" s="12" t="n">
        <f aca="false">72*Inputs!$B$10*Inputs!$B$7</f>
        <v>72</v>
      </c>
      <c r="B74" s="12" t="n">
        <f aca="false">72*Inputs!$B$10</f>
        <v>72</v>
      </c>
      <c r="C74" s="12" t="n">
        <f aca="false">DEGREES(ASIN(MIN(MAX(Inputs!$B$5/Inputs!$B$6*SIN(RADIANS(A74)),-1),1)))</f>
        <v>12.3097259517984</v>
      </c>
      <c r="D74" s="12" t="n">
        <f aca="false">Inputs!$B$8+Inputs!$B$5*COS(RADIANS(A74))</f>
        <v>0.360004798446814</v>
      </c>
      <c r="E74" s="12" t="n">
        <f aca="false">Inputs!$B$9+Inputs!$B$5*SIN(RADIANS(A74))</f>
        <v>1.10798084148385</v>
      </c>
      <c r="F74" s="12" t="n">
        <f aca="false">-Inputs!$B$6*(1-COS(RADIANS(C74)))</f>
        <v>-0.119482156121484</v>
      </c>
      <c r="G74" s="12" t="n">
        <f aca="false">C74*Inputs!$B$7</f>
        <v>12.3097259517984</v>
      </c>
      <c r="H74" s="12" t="n">
        <f aca="false">SQRT(D74^2+E74^2)</f>
        <v>1.165</v>
      </c>
    </row>
    <row r="75" customFormat="false" ht="15" hidden="false" customHeight="false" outlineLevel="0" collapsed="false">
      <c r="A75" s="12" t="n">
        <f aca="false">73*Inputs!$B$10*Inputs!$B$7</f>
        <v>73</v>
      </c>
      <c r="B75" s="12" t="n">
        <f aca="false">73*Inputs!$B$10</f>
        <v>73</v>
      </c>
      <c r="C75" s="12" t="n">
        <f aca="false">DEGREES(ASIN(MIN(MAX(Inputs!$B$5/Inputs!$B$6*SIN(RADIANS(A75)),-1),1)))</f>
        <v>12.3787289456573</v>
      </c>
      <c r="D75" s="12" t="n">
        <f aca="false">Inputs!$B$8+Inputs!$B$5*COS(RADIANS(A75))</f>
        <v>0.340613036001988</v>
      </c>
      <c r="E75" s="12" t="n">
        <f aca="false">Inputs!$B$9+Inputs!$B$5*SIN(RADIANS(A75))</f>
        <v>1.11409504069694</v>
      </c>
      <c r="F75" s="12" t="n">
        <f aca="false">-Inputs!$B$6*(1-COS(RADIANS(C75)))</f>
        <v>-0.120820211980815</v>
      </c>
      <c r="G75" s="12" t="n">
        <f aca="false">C75*Inputs!$B$7</f>
        <v>12.3787289456573</v>
      </c>
      <c r="H75" s="12" t="n">
        <f aca="false">SQRT(D75^2+E75^2)</f>
        <v>1.165</v>
      </c>
    </row>
    <row r="76" customFormat="false" ht="15" hidden="false" customHeight="false" outlineLevel="0" collapsed="false">
      <c r="A76" s="12" t="n">
        <f aca="false">74*Inputs!$B$10*Inputs!$B$7</f>
        <v>74</v>
      </c>
      <c r="B76" s="12" t="n">
        <f aca="false">74*Inputs!$B$10</f>
        <v>74</v>
      </c>
      <c r="C76" s="12" t="n">
        <f aca="false">DEGREES(ASIN(MIN(MAX(Inputs!$B$5/Inputs!$B$6*SIN(RADIANS(A76)),-1),1)))</f>
        <v>12.4439187299377</v>
      </c>
      <c r="D76" s="12" t="n">
        <f aca="false">Inputs!$B$8+Inputs!$B$5*COS(RADIANS(A76))</f>
        <v>0.321117519526804</v>
      </c>
      <c r="E76" s="12" t="n">
        <f aca="false">Inputs!$B$9+Inputs!$B$5*SIN(RADIANS(A76))</f>
        <v>1.11986987576814</v>
      </c>
      <c r="F76" s="12" t="n">
        <f aca="false">-Inputs!$B$6*(1-COS(RADIANS(C76)))</f>
        <v>-0.122091088369462</v>
      </c>
      <c r="G76" s="12" t="n">
        <f aca="false">C76*Inputs!$B$7</f>
        <v>12.4439187299377</v>
      </c>
      <c r="H76" s="12" t="n">
        <f aca="false">SQRT(D76^2+E76^2)</f>
        <v>1.165</v>
      </c>
    </row>
    <row r="77" customFormat="false" ht="15" hidden="false" customHeight="false" outlineLevel="0" collapsed="false">
      <c r="A77" s="12" t="n">
        <f aca="false">75*Inputs!$B$10*Inputs!$B$7</f>
        <v>75</v>
      </c>
      <c r="B77" s="12" t="n">
        <f aca="false">75*Inputs!$B$10</f>
        <v>75</v>
      </c>
      <c r="C77" s="12" t="n">
        <f aca="false">DEGREES(ASIN(MIN(MAX(Inputs!$B$5/Inputs!$B$6*SIN(RADIANS(A77)),-1),1)))</f>
        <v>12.5052726594297</v>
      </c>
      <c r="D77" s="12" t="n">
        <f aca="false">Inputs!$B$8+Inputs!$B$5*COS(RADIANS(A77))</f>
        <v>0.301524187544437</v>
      </c>
      <c r="E77" s="12" t="n">
        <f aca="false">Inputs!$B$9+Inputs!$B$5*SIN(RADIANS(A77))</f>
        <v>1.12530358762676</v>
      </c>
      <c r="F77" s="12" t="n">
        <f aca="false">-Inputs!$B$6*(1-COS(RADIANS(C77)))</f>
        <v>-0.123293185877378</v>
      </c>
      <c r="G77" s="12" t="n">
        <f aca="false">C77*Inputs!$B$7</f>
        <v>12.5052726594297</v>
      </c>
      <c r="H77" s="12" t="n">
        <f aca="false">SQRT(D77^2+E77^2)</f>
        <v>1.165</v>
      </c>
    </row>
    <row r="78" customFormat="false" ht="15" hidden="false" customHeight="false" outlineLevel="0" collapsed="false">
      <c r="A78" s="12" t="n">
        <f aca="false">76*Inputs!$B$10*Inputs!$B$7</f>
        <v>76</v>
      </c>
      <c r="B78" s="12" t="n">
        <f aca="false">76*Inputs!$B$10</f>
        <v>76</v>
      </c>
      <c r="C78" s="12" t="n">
        <f aca="false">DEGREES(ASIN(MIN(MAX(Inputs!$B$5/Inputs!$B$6*SIN(RADIANS(A78)),-1),1)))</f>
        <v>12.5627693824762</v>
      </c>
      <c r="D78" s="12" t="n">
        <f aca="false">Inputs!$B$8+Inputs!$B$5*COS(RADIANS(A78))</f>
        <v>0.281839008373613</v>
      </c>
      <c r="E78" s="12" t="n">
        <f aca="false">Inputs!$B$9+Inputs!$B$5*SIN(RADIANS(A78))</f>
        <v>1.13039452111154</v>
      </c>
      <c r="F78" s="12" t="n">
        <f aca="false">-Inputs!$B$6*(1-COS(RADIANS(C78)))</f>
        <v>-0.124424990535771</v>
      </c>
      <c r="G78" s="12" t="n">
        <f aca="false">C78*Inputs!$B$7</f>
        <v>12.5627693824762</v>
      </c>
      <c r="H78" s="12" t="n">
        <f aca="false">SQRT(D78^2+E78^2)</f>
        <v>1.165</v>
      </c>
    </row>
    <row r="79" customFormat="false" ht="15" hidden="false" customHeight="false" outlineLevel="0" collapsed="false">
      <c r="A79" s="12" t="n">
        <f aca="false">77*Inputs!$B$10*Inputs!$B$7</f>
        <v>77</v>
      </c>
      <c r="B79" s="12" t="n">
        <f aca="false">77*Inputs!$B$10</f>
        <v>77</v>
      </c>
      <c r="C79" s="12" t="n">
        <f aca="false">DEGREES(ASIN(MIN(MAX(Inputs!$B$5/Inputs!$B$6*SIN(RADIANS(A79)),-1),1)))</f>
        <v>12.6163888552857</v>
      </c>
      <c r="D79" s="12" t="n">
        <f aca="false">Inputs!$B$8+Inputs!$B$5*COS(RADIANS(A79))</f>
        <v>0.262067978310603</v>
      </c>
      <c r="E79" s="12" t="n">
        <f aca="false">Inputs!$B$9+Inputs!$B$5*SIN(RADIANS(A79))</f>
        <v>1.1351411254748</v>
      </c>
      <c r="F79" s="12" t="n">
        <f aca="false">-Inputs!$B$6*(1-COS(RADIANS(C79)))</f>
        <v>-0.125485075911163</v>
      </c>
      <c r="G79" s="12" t="n">
        <f aca="false">C79*Inputs!$B$7</f>
        <v>12.6163888552857</v>
      </c>
      <c r="H79" s="12" t="n">
        <f aca="false">SQRT(D79^2+E79^2)</f>
        <v>1.165</v>
      </c>
    </row>
    <row r="80" customFormat="false" ht="15" hidden="false" customHeight="false" outlineLevel="0" collapsed="false">
      <c r="A80" s="12" t="n">
        <f aca="false">78*Inputs!$B$10*Inputs!$B$7</f>
        <v>78</v>
      </c>
      <c r="B80" s="12" t="n">
        <f aca="false">78*Inputs!$B$10</f>
        <v>78</v>
      </c>
      <c r="C80" s="12" t="n">
        <f aca="false">DEGREES(ASIN(MIN(MAX(Inputs!$B$5/Inputs!$B$6*SIN(RADIANS(A80)),-1),1)))</f>
        <v>12.6661123554741</v>
      </c>
      <c r="D80" s="12" t="n">
        <f aca="false">Inputs!$B$8+Inputs!$B$5*COS(RADIANS(A80))</f>
        <v>0.24221711980269</v>
      </c>
      <c r="E80" s="12" t="n">
        <f aca="false">Inputs!$B$9+Inputs!$B$5*SIN(RADIANS(A80))</f>
        <v>1.13954195485488</v>
      </c>
      <c r="F80" s="12" t="n">
        <f aca="false">-Inputs!$B$6*(1-COS(RADIANS(C80)))</f>
        <v>-0.126472105083583</v>
      </c>
      <c r="G80" s="12" t="n">
        <f aca="false">C80*Inputs!$B$7</f>
        <v>12.6661123554741</v>
      </c>
      <c r="H80" s="12" t="n">
        <f aca="false">SQRT(D80^2+E80^2)</f>
        <v>1.165</v>
      </c>
    </row>
    <row r="81" customFormat="false" ht="15" hidden="false" customHeight="false" outlineLevel="0" collapsed="false">
      <c r="A81" s="12" t="n">
        <f aca="false">79*Inputs!$B$10*Inputs!$B$7</f>
        <v>79</v>
      </c>
      <c r="B81" s="12" t="n">
        <f aca="false">79*Inputs!$B$10</f>
        <v>79</v>
      </c>
      <c r="C81" s="12" t="n">
        <f aca="false">DEGREES(ASIN(MIN(MAX(Inputs!$B$5/Inputs!$B$6*SIN(RADIANS(A81)),-1),1)))</f>
        <v>12.7119224948032</v>
      </c>
      <c r="D81" s="12" t="n">
        <f aca="false">Inputs!$B$8+Inputs!$B$5*COS(RADIANS(A81))</f>
        <v>0.222292479613675</v>
      </c>
      <c r="E81" s="12" t="n">
        <f aca="false">Inputs!$B$9+Inputs!$B$5*SIN(RADIANS(A81))</f>
        <v>1.14359566871653</v>
      </c>
      <c r="F81" s="12" t="n">
        <f aca="false">-Inputs!$B$6*(1-COS(RADIANS(C81)))</f>
        <v>-0.127384832505253</v>
      </c>
      <c r="G81" s="12" t="n">
        <f aca="false">C81*Inputs!$B$7</f>
        <v>12.7119224948032</v>
      </c>
      <c r="H81" s="12" t="n">
        <f aca="false">SQRT(D81^2+E81^2)</f>
        <v>1.165</v>
      </c>
    </row>
    <row r="82" customFormat="false" ht="15" hidden="false" customHeight="false" outlineLevel="0" collapsed="false">
      <c r="A82" s="12" t="n">
        <f aca="false">80*Inputs!$B$10*Inputs!$B$7</f>
        <v>80</v>
      </c>
      <c r="B82" s="12" t="n">
        <f aca="false">80*Inputs!$B$10</f>
        <v>80</v>
      </c>
      <c r="C82" s="12" t="n">
        <f aca="false">DEGREES(ASIN(MIN(MAX(Inputs!$B$5/Inputs!$B$6*SIN(RADIANS(A82)),-1),1)))</f>
        <v>12.7538032310919</v>
      </c>
      <c r="D82" s="12" t="n">
        <f aca="false">Inputs!$B$8+Inputs!$B$5*COS(RADIANS(A82))</f>
        <v>0.202300126981974</v>
      </c>
      <c r="E82" s="12" t="n">
        <f aca="false">Inputs!$B$9+Inputs!$B$5*SIN(RADIANS(A82))</f>
        <v>1.14730103225922</v>
      </c>
      <c r="F82" s="12" t="n">
        <f aca="false">-Inputs!$B$6*(1-COS(RADIANS(C82)))</f>
        <v>-0.128222105736244</v>
      </c>
      <c r="G82" s="12" t="n">
        <f aca="false">C82*Inputs!$B$7</f>
        <v>12.7538032310919</v>
      </c>
      <c r="H82" s="12" t="n">
        <f aca="false">SQRT(D82^2+E82^2)</f>
        <v>1.165</v>
      </c>
    </row>
    <row r="83" customFormat="false" ht="15" hidden="false" customHeight="false" outlineLevel="0" collapsed="false">
      <c r="A83" s="12" t="n">
        <f aca="false">81*Inputs!$B$10*Inputs!$B$7</f>
        <v>81</v>
      </c>
      <c r="B83" s="12" t="n">
        <f aca="false">81*Inputs!$B$10</f>
        <v>81</v>
      </c>
      <c r="C83" s="12" t="n">
        <f aca="false">DEGREES(ASIN(MIN(MAX(Inputs!$B$5/Inputs!$B$6*SIN(RADIANS(A83)),-1),1)))</f>
        <v>12.7917398792726</v>
      </c>
      <c r="D83" s="12" t="n">
        <f aca="false">Inputs!$B$8+Inputs!$B$5*COS(RADIANS(A83))</f>
        <v>0.182246151771869</v>
      </c>
      <c r="E83" s="12" t="n">
        <f aca="false">Inputs!$B$9+Inputs!$B$5*SIN(RADIANS(A83))</f>
        <v>1.15065691679334</v>
      </c>
      <c r="F83" s="12" t="n">
        <f aca="false">-Inputs!$B$6*(1-COS(RADIANS(C83)))</f>
        <v>-0.128982867053856</v>
      </c>
      <c r="G83" s="12" t="n">
        <f aca="false">C83*Inputs!$B$7</f>
        <v>12.7917398792726</v>
      </c>
      <c r="H83" s="12" t="n">
        <f aca="false">SQRT(D83^2+E83^2)</f>
        <v>1.165</v>
      </c>
    </row>
    <row r="84" customFormat="false" ht="15" hidden="false" customHeight="false" outlineLevel="0" collapsed="false">
      <c r="A84" s="12" t="n">
        <f aca="false">82*Inputs!$B$10*Inputs!$B$7</f>
        <v>82</v>
      </c>
      <c r="B84" s="12" t="n">
        <f aca="false">82*Inputs!$B$10</f>
        <v>82</v>
      </c>
      <c r="C84" s="12" t="n">
        <f aca="false">DEGREES(ASIN(MIN(MAX(Inputs!$B$5/Inputs!$B$6*SIN(RADIANS(A84)),-1),1)))</f>
        <v>12.8257191215695</v>
      </c>
      <c r="D84" s="12" t="n">
        <f aca="false">Inputs!$B$8+Inputs!$B$5*COS(RADIANS(A84))</f>
        <v>0.162136662618476</v>
      </c>
      <c r="E84" s="12" t="n">
        <f aca="false">Inputs!$B$9+Inputs!$B$5*SIN(RADIANS(A84))</f>
        <v>1.15366230008393</v>
      </c>
      <c r="F84" s="12" t="n">
        <f aca="false">-Inputs!$B$6*(1-COS(RADIANS(C84)))</f>
        <v>-0.129666154932649</v>
      </c>
      <c r="G84" s="12" t="n">
        <f aca="false">C84*Inputs!$B$7</f>
        <v>12.8257191215695</v>
      </c>
      <c r="H84" s="12" t="n">
        <f aca="false">SQRT(D84^2+E84^2)</f>
        <v>1.165</v>
      </c>
    </row>
    <row r="85" customFormat="false" ht="15" hidden="false" customHeight="false" outlineLevel="0" collapsed="false">
      <c r="A85" s="12" t="n">
        <f aca="false">83*Inputs!$B$10*Inputs!$B$7</f>
        <v>83</v>
      </c>
      <c r="B85" s="12" t="n">
        <f aca="false">83*Inputs!$B$10</f>
        <v>83</v>
      </c>
      <c r="C85" s="12" t="n">
        <f aca="false">DEGREES(ASIN(MIN(MAX(Inputs!$B$5/Inputs!$B$6*SIN(RADIANS(A85)),-1),1)))</f>
        <v>12.8557290167774</v>
      </c>
      <c r="D85" s="12" t="n">
        <f aca="false">Inputs!$B$8+Inputs!$B$5*COS(RADIANS(A85))</f>
        <v>0.141977785066997</v>
      </c>
      <c r="E85" s="12" t="n">
        <f aca="false">Inputs!$B$9+Inputs!$B$5*SIN(RADIANS(A85))</f>
        <v>1.15631626666214</v>
      </c>
      <c r="F85" s="12" t="n">
        <f aca="false">-Inputs!$B$6*(1-COS(RADIANS(C85)))</f>
        <v>-0.130271105392303</v>
      </c>
      <c r="G85" s="12" t="n">
        <f aca="false">C85*Inputs!$B$7</f>
        <v>12.8557290167774</v>
      </c>
      <c r="H85" s="12" t="n">
        <f aca="false">SQRT(D85^2+E85^2)</f>
        <v>1.165</v>
      </c>
    </row>
    <row r="86" customFormat="false" ht="15" hidden="false" customHeight="false" outlineLevel="0" collapsed="false">
      <c r="A86" s="12" t="n">
        <f aca="false">84*Inputs!$B$10*Inputs!$B$7</f>
        <v>84</v>
      </c>
      <c r="B86" s="12" t="n">
        <f aca="false">84*Inputs!$B$10</f>
        <v>84</v>
      </c>
      <c r="C86" s="12" t="n">
        <f aca="false">DEGREES(ASIN(MIN(MAX(Inputs!$B$5/Inputs!$B$6*SIN(RADIANS(A86)),-1),1)))</f>
        <v>12.881759008619</v>
      </c>
      <c r="D86" s="12" t="n">
        <f aca="false">Inputs!$B$8+Inputs!$B$5*COS(RADIANS(A86))</f>
        <v>0.121775659706816</v>
      </c>
      <c r="E86" s="12" t="n">
        <f aca="false">Inputs!$B$9+Inputs!$B$5*SIN(RADIANS(A86))</f>
        <v>1.15861800810404</v>
      </c>
      <c r="F86" s="12" t="n">
        <f aca="false">-Inputs!$B$6*(1-COS(RADIANS(C86)))</f>
        <v>-0.130796953210716</v>
      </c>
      <c r="G86" s="12" t="n">
        <f aca="false">C86*Inputs!$B$7</f>
        <v>12.881759008619</v>
      </c>
      <c r="H86" s="12" t="n">
        <f aca="false">SQRT(D86^2+E86^2)</f>
        <v>1.165</v>
      </c>
    </row>
    <row r="87" customFormat="false" ht="15" hidden="false" customHeight="false" outlineLevel="0" collapsed="false">
      <c r="A87" s="12" t="n">
        <f aca="false">85*Inputs!$B$10*Inputs!$B$7</f>
        <v>85</v>
      </c>
      <c r="B87" s="12" t="n">
        <f aca="false">85*Inputs!$B$10</f>
        <v>85</v>
      </c>
      <c r="C87" s="12" t="n">
        <f aca="false">DEGREES(ASIN(MIN(MAX(Inputs!$B$5/Inputs!$B$6*SIN(RADIANS(A87)),-1),1)))</f>
        <v>12.9037999331639</v>
      </c>
      <c r="D87" s="12" t="n">
        <f aca="false">Inputs!$B$8+Inputs!$B$5*COS(RADIANS(A87))</f>
        <v>0.101536440301022</v>
      </c>
      <c r="E87" s="12" t="n">
        <f aca="false">Inputs!$B$9+Inputs!$B$5*SIN(RADIANS(A87))</f>
        <v>1.16056682327688</v>
      </c>
      <c r="F87" s="12" t="n">
        <f aca="false">-Inputs!$B$6*(1-COS(RADIANS(C87)))</f>
        <v>-0.131243033000004</v>
      </c>
      <c r="G87" s="12" t="n">
        <f aca="false">C87*Inputs!$B$7</f>
        <v>12.9037999331639</v>
      </c>
      <c r="H87" s="12" t="n">
        <f aca="false">SQRT(D87^2+E87^2)</f>
        <v>1.165</v>
      </c>
    </row>
    <row r="88" customFormat="false" ht="15" hidden="false" customHeight="false" outlineLevel="0" collapsed="false">
      <c r="A88" s="12" t="n">
        <f aca="false">86*Inputs!$B$10*Inputs!$B$7</f>
        <v>86</v>
      </c>
      <c r="B88" s="12" t="n">
        <f aca="false">86*Inputs!$B$10</f>
        <v>86</v>
      </c>
      <c r="C88" s="12" t="n">
        <f aca="false">DEGREES(ASIN(MIN(MAX(Inputs!$B$5/Inputs!$B$6*SIN(RADIANS(A88)),-1),1)))</f>
        <v>12.9218440252924</v>
      </c>
      <c r="D88" s="12" t="n">
        <f aca="false">Inputs!$B$8+Inputs!$B$5*COS(RADIANS(A88))</f>
        <v>0.0812662919119059</v>
      </c>
      <c r="E88" s="12" t="n">
        <f aca="false">Inputs!$B$9+Inputs!$B$5*SIN(RADIANS(A88))</f>
        <v>1.1621621185527</v>
      </c>
      <c r="F88" s="12" t="n">
        <f aca="false">-Inputs!$B$6*(1-COS(RADIANS(C88)))</f>
        <v>-0.131608780143323</v>
      </c>
      <c r="G88" s="12" t="n">
        <f aca="false">C88*Inputs!$B$7</f>
        <v>12.9218440252924</v>
      </c>
      <c r="H88" s="12" t="n">
        <f aca="false">SQRT(D88^2+E88^2)</f>
        <v>1.165</v>
      </c>
    </row>
    <row r="89" customFormat="false" ht="15" hidden="false" customHeight="false" outlineLevel="0" collapsed="false">
      <c r="A89" s="12" t="n">
        <f aca="false">87*Inputs!$B$10*Inputs!$B$7</f>
        <v>87</v>
      </c>
      <c r="B89" s="12" t="n">
        <f aca="false">87*Inputs!$B$10</f>
        <v>87</v>
      </c>
      <c r="C89" s="12" t="n">
        <f aca="false">DEGREES(ASIN(MIN(MAX(Inputs!$B$5/Inputs!$B$6*SIN(RADIANS(A89)),-1),1)))</f>
        <v>12.9358849241891</v>
      </c>
      <c r="D89" s="12" t="n">
        <f aca="false">Inputs!$B$8+Inputs!$B$5*COS(RADIANS(A89))</f>
        <v>0.0609713890230297</v>
      </c>
      <c r="E89" s="12" t="n">
        <f aca="false">Inputs!$B$9+Inputs!$B$5*SIN(RADIANS(A89))</f>
        <v>1.16340340798908</v>
      </c>
      <c r="F89" s="12" t="n">
        <f aca="false">-Inputs!$B$6*(1-COS(RADIANS(C89)))</f>
        <v>-0.131893731590679</v>
      </c>
      <c r="G89" s="12" t="n">
        <f aca="false">C89*Inputs!$B$7</f>
        <v>12.9358849241891</v>
      </c>
      <c r="H89" s="12" t="n">
        <f aca="false">SQRT(D89^2+E89^2)</f>
        <v>1.165</v>
      </c>
    </row>
    <row r="90" customFormat="false" ht="15" hidden="false" customHeight="false" outlineLevel="0" collapsed="false">
      <c r="A90" s="12" t="n">
        <f aca="false">88*Inputs!$B$10*Inputs!$B$7</f>
        <v>88</v>
      </c>
      <c r="B90" s="12" t="n">
        <f aca="false">88*Inputs!$B$10</f>
        <v>88</v>
      </c>
      <c r="C90" s="12" t="n">
        <f aca="false">DEGREES(ASIN(MIN(MAX(Inputs!$B$5/Inputs!$B$6*SIN(RADIANS(A90)),-1),1)))</f>
        <v>12.9459176778548</v>
      </c>
      <c r="D90" s="12" t="n">
        <f aca="false">Inputs!$B$8+Inputs!$B$5*COS(RADIANS(A90))</f>
        <v>0.0406579136584138</v>
      </c>
      <c r="E90" s="12" t="n">
        <f aca="false">Inputs!$B$9+Inputs!$B$5*SIN(RADIANS(A90))</f>
        <v>1.16429031347725</v>
      </c>
      <c r="F90" s="12" t="n">
        <f aca="false">-Inputs!$B$6*(1-COS(RADIANS(C90)))</f>
        <v>-0.132097526512178</v>
      </c>
      <c r="G90" s="12" t="n">
        <f aca="false">C90*Inputs!$B$7</f>
        <v>12.9459176778548</v>
      </c>
      <c r="H90" s="12" t="n">
        <f aca="false">SQRT(D90^2+E90^2)</f>
        <v>1.165</v>
      </c>
    </row>
    <row r="91" customFormat="false" ht="15" hidden="false" customHeight="false" outlineLevel="0" collapsed="false">
      <c r="A91" s="12" t="n">
        <f aca="false">89*Inputs!$B$10*Inputs!$B$7</f>
        <v>89</v>
      </c>
      <c r="B91" s="12" t="n">
        <f aca="false">89*Inputs!$B$10</f>
        <v>89</v>
      </c>
      <c r="C91" s="12" t="n">
        <f aca="false">DEGREES(ASIN(MIN(MAX(Inputs!$B$5/Inputs!$B$6*SIN(RADIANS(A91)),-1),1)))</f>
        <v>12.9519387466261</v>
      </c>
      <c r="D91" s="12" t="n">
        <f aca="false">Inputs!$B$8+Inputs!$B$5*COS(RADIANS(A91))</f>
        <v>0.0203320534994354</v>
      </c>
      <c r="E91" s="12" t="n">
        <f aca="false">Inputs!$B$9+Inputs!$B$5*SIN(RADIANS(A91))</f>
        <v>1.1648225648572</v>
      </c>
      <c r="F91" s="12" t="n">
        <f aca="false">-Inputs!$B$6*(1-COS(RADIANS(C91)))</f>
        <v>-0.132219906807453</v>
      </c>
      <c r="G91" s="12" t="n">
        <f aca="false">C91*Inputs!$B$7</f>
        <v>12.9519387466261</v>
      </c>
      <c r="H91" s="12" t="n">
        <f aca="false">SQRT(D91^2+E91^2)</f>
        <v>1.165</v>
      </c>
    </row>
    <row r="92" customFormat="false" ht="15" hidden="false" customHeight="false" outlineLevel="0" collapsed="false">
      <c r="A92" s="12" t="n">
        <f aca="false">90*Inputs!$B$10*Inputs!$B$7</f>
        <v>90</v>
      </c>
      <c r="B92" s="12" t="n">
        <f aca="false">90*Inputs!$B$10</f>
        <v>90</v>
      </c>
      <c r="C92" s="12" t="n">
        <f aca="false">DEGREES(ASIN(MIN(MAX(Inputs!$B$5/Inputs!$B$6*SIN(RADIANS(A92)),-1),1)))</f>
        <v>12.9539460056958</v>
      </c>
      <c r="D92" s="12" t="n">
        <f aca="false">Inputs!$B$8+Inputs!$B$5*COS(RADIANS(A92))</f>
        <v>7.13356760503333E-017</v>
      </c>
      <c r="E92" s="12" t="n">
        <f aca="false">Inputs!$B$9+Inputs!$B$5*SIN(RADIANS(A92))</f>
        <v>1.165</v>
      </c>
      <c r="F92" s="12" t="n">
        <f aca="false">-Inputs!$B$6*(1-COS(RADIANS(C92)))</f>
        <v>-0.132260717470247</v>
      </c>
      <c r="G92" s="12" t="n">
        <f aca="false">C92*Inputs!$B$7</f>
        <v>12.9539460056958</v>
      </c>
      <c r="H92" s="12" t="n">
        <f aca="false">SQRT(D92^2+E92^2)</f>
        <v>1.165</v>
      </c>
    </row>
    <row r="93" customFormat="false" ht="15" hidden="false" customHeight="false" outlineLevel="0" collapsed="false">
      <c r="A93" s="12" t="n">
        <f aca="false">91*Inputs!$B$10*Inputs!$B$7</f>
        <v>91</v>
      </c>
      <c r="B93" s="12" t="n">
        <f aca="false">91*Inputs!$B$10</f>
        <v>91</v>
      </c>
      <c r="C93" s="12" t="n">
        <f aca="false">DEGREES(ASIN(MIN(MAX(Inputs!$B$5/Inputs!$B$6*SIN(RADIANS(A93)),-1),1)))</f>
        <v>12.9519387466261</v>
      </c>
      <c r="D93" s="12" t="n">
        <f aca="false">Inputs!$B$8+Inputs!$B$5*COS(RADIANS(A93))</f>
        <v>-0.0203320534994353</v>
      </c>
      <c r="E93" s="12" t="n">
        <f aca="false">Inputs!$B$9+Inputs!$B$5*SIN(RADIANS(A93))</f>
        <v>1.1648225648572</v>
      </c>
      <c r="F93" s="12" t="n">
        <f aca="false">-Inputs!$B$6*(1-COS(RADIANS(C93)))</f>
        <v>-0.132219906807453</v>
      </c>
      <c r="G93" s="12" t="n">
        <f aca="false">C93*Inputs!$B$7</f>
        <v>12.9519387466261</v>
      </c>
      <c r="H93" s="12" t="n">
        <f aca="false">SQRT(D93^2+E93^2)</f>
        <v>1.165</v>
      </c>
    </row>
    <row r="94" customFormat="false" ht="15" hidden="false" customHeight="false" outlineLevel="0" collapsed="false">
      <c r="A94" s="12" t="n">
        <f aca="false">92*Inputs!$B$10*Inputs!$B$7</f>
        <v>92</v>
      </c>
      <c r="B94" s="12" t="n">
        <f aca="false">92*Inputs!$B$10</f>
        <v>92</v>
      </c>
      <c r="C94" s="12" t="n">
        <f aca="false">DEGREES(ASIN(MIN(MAX(Inputs!$B$5/Inputs!$B$6*SIN(RADIANS(A94)),-1),1)))</f>
        <v>12.9459176778548</v>
      </c>
      <c r="D94" s="12" t="n">
        <f aca="false">Inputs!$B$8+Inputs!$B$5*COS(RADIANS(A94))</f>
        <v>-0.0406579136584134</v>
      </c>
      <c r="E94" s="12" t="n">
        <f aca="false">Inputs!$B$9+Inputs!$B$5*SIN(RADIANS(A94))</f>
        <v>1.16429031347725</v>
      </c>
      <c r="F94" s="12" t="n">
        <f aca="false">-Inputs!$B$6*(1-COS(RADIANS(C94)))</f>
        <v>-0.132097526512178</v>
      </c>
      <c r="G94" s="12" t="n">
        <f aca="false">C94*Inputs!$B$7</f>
        <v>12.9459176778548</v>
      </c>
      <c r="H94" s="12" t="n">
        <f aca="false">SQRT(D94^2+E94^2)</f>
        <v>1.165</v>
      </c>
    </row>
    <row r="95" customFormat="false" ht="15" hidden="false" customHeight="false" outlineLevel="0" collapsed="false">
      <c r="A95" s="12" t="n">
        <f aca="false">93*Inputs!$B$10*Inputs!$B$7</f>
        <v>93</v>
      </c>
      <c r="B95" s="12" t="n">
        <f aca="false">93*Inputs!$B$10</f>
        <v>93</v>
      </c>
      <c r="C95" s="12" t="n">
        <f aca="false">DEGREES(ASIN(MIN(MAX(Inputs!$B$5/Inputs!$B$6*SIN(RADIANS(A95)),-1),1)))</f>
        <v>12.9358849241891</v>
      </c>
      <c r="D95" s="12" t="n">
        <f aca="false">Inputs!$B$8+Inputs!$B$5*COS(RADIANS(A95))</f>
        <v>-0.0609713890230296</v>
      </c>
      <c r="E95" s="12" t="n">
        <f aca="false">Inputs!$B$9+Inputs!$B$5*SIN(RADIANS(A95))</f>
        <v>1.16340340798908</v>
      </c>
      <c r="F95" s="12" t="n">
        <f aca="false">-Inputs!$B$6*(1-COS(RADIANS(C95)))</f>
        <v>-0.131893731590679</v>
      </c>
      <c r="G95" s="12" t="n">
        <f aca="false">C95*Inputs!$B$7</f>
        <v>12.9358849241891</v>
      </c>
      <c r="H95" s="12" t="n">
        <f aca="false">SQRT(D95^2+E95^2)</f>
        <v>1.165</v>
      </c>
    </row>
    <row r="96" customFormat="false" ht="15" hidden="false" customHeight="false" outlineLevel="0" collapsed="false">
      <c r="A96" s="12" t="n">
        <f aca="false">94*Inputs!$B$10*Inputs!$B$7</f>
        <v>94</v>
      </c>
      <c r="B96" s="12" t="n">
        <f aca="false">94*Inputs!$B$10</f>
        <v>94</v>
      </c>
      <c r="C96" s="12" t="n">
        <f aca="false">DEGREES(ASIN(MIN(MAX(Inputs!$B$5/Inputs!$B$6*SIN(RADIANS(A96)),-1),1)))</f>
        <v>12.9218440252924</v>
      </c>
      <c r="D96" s="12" t="n">
        <f aca="false">Inputs!$B$8+Inputs!$B$5*COS(RADIANS(A96))</f>
        <v>-0.081266291911906</v>
      </c>
      <c r="E96" s="12" t="n">
        <f aca="false">Inputs!$B$9+Inputs!$B$5*SIN(RADIANS(A96))</f>
        <v>1.1621621185527</v>
      </c>
      <c r="F96" s="12" t="n">
        <f aca="false">-Inputs!$B$6*(1-COS(RADIANS(C96)))</f>
        <v>-0.131608780143323</v>
      </c>
      <c r="G96" s="12" t="n">
        <f aca="false">C96*Inputs!$B$7</f>
        <v>12.9218440252924</v>
      </c>
      <c r="H96" s="12" t="n">
        <f aca="false">SQRT(D96^2+E96^2)</f>
        <v>1.165</v>
      </c>
    </row>
    <row r="97" customFormat="false" ht="15" hidden="false" customHeight="false" outlineLevel="0" collapsed="false">
      <c r="A97" s="12" t="n">
        <f aca="false">95*Inputs!$B$10*Inputs!$B$7</f>
        <v>95</v>
      </c>
      <c r="B97" s="12" t="n">
        <f aca="false">95*Inputs!$B$10</f>
        <v>95</v>
      </c>
      <c r="C97" s="12" t="n">
        <f aca="false">DEGREES(ASIN(MIN(MAX(Inputs!$B$5/Inputs!$B$6*SIN(RADIANS(A97)),-1),1)))</f>
        <v>12.9037999331639</v>
      </c>
      <c r="D97" s="12" t="n">
        <f aca="false">Inputs!$B$8+Inputs!$B$5*COS(RADIANS(A97))</f>
        <v>-0.101536440301022</v>
      </c>
      <c r="E97" s="12" t="n">
        <f aca="false">Inputs!$B$9+Inputs!$B$5*SIN(RADIANS(A97))</f>
        <v>1.16056682327688</v>
      </c>
      <c r="F97" s="12" t="n">
        <f aca="false">-Inputs!$B$6*(1-COS(RADIANS(C97)))</f>
        <v>-0.131243033000004</v>
      </c>
      <c r="G97" s="12" t="n">
        <f aca="false">C97*Inputs!$B$7</f>
        <v>12.9037999331639</v>
      </c>
      <c r="H97" s="12" t="n">
        <f aca="false">SQRT(D97^2+E97^2)</f>
        <v>1.165</v>
      </c>
    </row>
    <row r="98" customFormat="false" ht="15" hidden="false" customHeight="false" outlineLevel="0" collapsed="false">
      <c r="A98" s="12" t="n">
        <f aca="false">96*Inputs!$B$10*Inputs!$B$7</f>
        <v>96</v>
      </c>
      <c r="B98" s="12" t="n">
        <f aca="false">96*Inputs!$B$10</f>
        <v>96</v>
      </c>
      <c r="C98" s="12" t="n">
        <f aca="false">DEGREES(ASIN(MIN(MAX(Inputs!$B$5/Inputs!$B$6*SIN(RADIANS(A98)),-1),1)))</f>
        <v>12.881759008619</v>
      </c>
      <c r="D98" s="12" t="n">
        <f aca="false">Inputs!$B$8+Inputs!$B$5*COS(RADIANS(A98))</f>
        <v>-0.121775659706816</v>
      </c>
      <c r="E98" s="12" t="n">
        <f aca="false">Inputs!$B$9+Inputs!$B$5*SIN(RADIANS(A98))</f>
        <v>1.15861800810404</v>
      </c>
      <c r="F98" s="12" t="n">
        <f aca="false">-Inputs!$B$6*(1-COS(RADIANS(C98)))</f>
        <v>-0.130796953210716</v>
      </c>
      <c r="G98" s="12" t="n">
        <f aca="false">C98*Inputs!$B$7</f>
        <v>12.881759008619</v>
      </c>
      <c r="H98" s="12" t="n">
        <f aca="false">SQRT(D98^2+E98^2)</f>
        <v>1.165</v>
      </c>
    </row>
    <row r="99" customFormat="false" ht="15" hidden="false" customHeight="false" outlineLevel="0" collapsed="false">
      <c r="A99" s="12" t="n">
        <f aca="false">97*Inputs!$B$10*Inputs!$B$7</f>
        <v>97</v>
      </c>
      <c r="B99" s="12" t="n">
        <f aca="false">97*Inputs!$B$10</f>
        <v>97</v>
      </c>
      <c r="C99" s="12" t="n">
        <f aca="false">DEGREES(ASIN(MIN(MAX(Inputs!$B$5/Inputs!$B$6*SIN(RADIANS(A99)),-1),1)))</f>
        <v>12.8557290167774</v>
      </c>
      <c r="D99" s="12" t="n">
        <f aca="false">Inputs!$B$8+Inputs!$B$5*COS(RADIANS(A99))</f>
        <v>-0.141977785066997</v>
      </c>
      <c r="E99" s="12" t="n">
        <f aca="false">Inputs!$B$9+Inputs!$B$5*SIN(RADIANS(A99))</f>
        <v>1.15631626666214</v>
      </c>
      <c r="F99" s="12" t="n">
        <f aca="false">-Inputs!$B$6*(1-COS(RADIANS(C99)))</f>
        <v>-0.130271105392303</v>
      </c>
      <c r="G99" s="12" t="n">
        <f aca="false">C99*Inputs!$B$7</f>
        <v>12.8557290167774</v>
      </c>
      <c r="H99" s="12" t="n">
        <f aca="false">SQRT(D99^2+E99^2)</f>
        <v>1.165</v>
      </c>
    </row>
    <row r="100" customFormat="false" ht="15" hidden="false" customHeight="false" outlineLevel="0" collapsed="false">
      <c r="A100" s="12" t="n">
        <f aca="false">98*Inputs!$B$10*Inputs!$B$7</f>
        <v>98</v>
      </c>
      <c r="B100" s="12" t="n">
        <f aca="false">98*Inputs!$B$10</f>
        <v>98</v>
      </c>
      <c r="C100" s="12" t="n">
        <f aca="false">DEGREES(ASIN(MIN(MAX(Inputs!$B$5/Inputs!$B$6*SIN(RADIANS(A100)),-1),1)))</f>
        <v>12.8257191215695</v>
      </c>
      <c r="D100" s="12" t="n">
        <f aca="false">Inputs!$B$8+Inputs!$B$5*COS(RADIANS(A100))</f>
        <v>-0.162136662618476</v>
      </c>
      <c r="E100" s="12" t="n">
        <f aca="false">Inputs!$B$9+Inputs!$B$5*SIN(RADIANS(A100))</f>
        <v>1.15366230008393</v>
      </c>
      <c r="F100" s="12" t="n">
        <f aca="false">-Inputs!$B$6*(1-COS(RADIANS(C100)))</f>
        <v>-0.129666154932649</v>
      </c>
      <c r="G100" s="12" t="n">
        <f aca="false">C100*Inputs!$B$7</f>
        <v>12.8257191215695</v>
      </c>
      <c r="H100" s="12" t="n">
        <f aca="false">SQRT(D100^2+E100^2)</f>
        <v>1.165</v>
      </c>
    </row>
    <row r="101" customFormat="false" ht="15" hidden="false" customHeight="false" outlineLevel="0" collapsed="false">
      <c r="A101" s="12" t="n">
        <f aca="false">99*Inputs!$B$10*Inputs!$B$7</f>
        <v>99</v>
      </c>
      <c r="B101" s="12" t="n">
        <f aca="false">99*Inputs!$B$10</f>
        <v>99</v>
      </c>
      <c r="C101" s="12" t="n">
        <f aca="false">DEGREES(ASIN(MIN(MAX(Inputs!$B$5/Inputs!$B$6*SIN(RADIANS(A101)),-1),1)))</f>
        <v>12.7917398792726</v>
      </c>
      <c r="D101" s="12" t="n">
        <f aca="false">Inputs!$B$8+Inputs!$B$5*COS(RADIANS(A101))</f>
        <v>-0.182246151771869</v>
      </c>
      <c r="E101" s="12" t="n">
        <f aca="false">Inputs!$B$9+Inputs!$B$5*SIN(RADIANS(A101))</f>
        <v>1.15065691679334</v>
      </c>
      <c r="F101" s="12" t="n">
        <f aca="false">-Inputs!$B$6*(1-COS(RADIANS(C101)))</f>
        <v>-0.128982867053856</v>
      </c>
      <c r="G101" s="12" t="n">
        <f aca="false">C101*Inputs!$B$7</f>
        <v>12.7917398792726</v>
      </c>
      <c r="H101" s="12" t="n">
        <f aca="false">SQRT(D101^2+E101^2)</f>
        <v>1.165</v>
      </c>
    </row>
    <row r="102" customFormat="false" ht="15" hidden="false" customHeight="false" outlineLevel="0" collapsed="false">
      <c r="A102" s="12" t="n">
        <f aca="false">100*Inputs!$B$10*Inputs!$B$7</f>
        <v>100</v>
      </c>
      <c r="B102" s="12" t="n">
        <f aca="false">100*Inputs!$B$10</f>
        <v>100</v>
      </c>
      <c r="C102" s="12" t="n">
        <f aca="false">DEGREES(ASIN(MIN(MAX(Inputs!$B$5/Inputs!$B$6*SIN(RADIANS(A102)),-1),1)))</f>
        <v>12.7538032310919</v>
      </c>
      <c r="D102" s="12" t="n">
        <f aca="false">Inputs!$B$8+Inputs!$B$5*COS(RADIANS(A102))</f>
        <v>-0.202300126981974</v>
      </c>
      <c r="E102" s="12" t="n">
        <f aca="false">Inputs!$B$9+Inputs!$B$5*SIN(RADIANS(A102))</f>
        <v>1.14730103225922</v>
      </c>
      <c r="F102" s="12" t="n">
        <f aca="false">-Inputs!$B$6*(1-COS(RADIANS(C102)))</f>
        <v>-0.128222105736244</v>
      </c>
      <c r="G102" s="12" t="n">
        <f aca="false">C102*Inputs!$B$7</f>
        <v>12.7538032310919</v>
      </c>
      <c r="H102" s="12" t="n">
        <f aca="false">SQRT(D102^2+E102^2)</f>
        <v>1.165</v>
      </c>
    </row>
    <row r="103" customFormat="false" ht="15" hidden="false" customHeight="false" outlineLevel="0" collapsed="false">
      <c r="A103" s="12" t="n">
        <f aca="false">101*Inputs!$B$10*Inputs!$B$7</f>
        <v>101</v>
      </c>
      <c r="B103" s="12" t="n">
        <f aca="false">101*Inputs!$B$10</f>
        <v>101</v>
      </c>
      <c r="C103" s="12" t="n">
        <f aca="false">DEGREES(ASIN(MIN(MAX(Inputs!$B$5/Inputs!$B$6*SIN(RADIANS(A103)),-1),1)))</f>
        <v>12.7119224948032</v>
      </c>
      <c r="D103" s="12" t="n">
        <f aca="false">Inputs!$B$8+Inputs!$B$5*COS(RADIANS(A103))</f>
        <v>-0.222292479613675</v>
      </c>
      <c r="E103" s="12" t="n">
        <f aca="false">Inputs!$B$9+Inputs!$B$5*SIN(RADIANS(A103))</f>
        <v>1.14359566871653</v>
      </c>
      <c r="F103" s="12" t="n">
        <f aca="false">-Inputs!$B$6*(1-COS(RADIANS(C103)))</f>
        <v>-0.127384832505253</v>
      </c>
      <c r="G103" s="12" t="n">
        <f aca="false">C103*Inputs!$B$7</f>
        <v>12.7119224948032</v>
      </c>
      <c r="H103" s="12" t="n">
        <f aca="false">SQRT(D103^2+E103^2)</f>
        <v>1.165</v>
      </c>
    </row>
    <row r="104" customFormat="false" ht="15" hidden="false" customHeight="false" outlineLevel="0" collapsed="false">
      <c r="A104" s="12" t="n">
        <f aca="false">102*Inputs!$B$10*Inputs!$B$7</f>
        <v>102</v>
      </c>
      <c r="B104" s="12" t="n">
        <f aca="false">102*Inputs!$B$10</f>
        <v>102</v>
      </c>
      <c r="C104" s="12" t="n">
        <f aca="false">DEGREES(ASIN(MIN(MAX(Inputs!$B$5/Inputs!$B$6*SIN(RADIANS(A104)),-1),1)))</f>
        <v>12.6661123554741</v>
      </c>
      <c r="D104" s="12" t="n">
        <f aca="false">Inputs!$B$8+Inputs!$B$5*COS(RADIANS(A104))</f>
        <v>-0.242217119802689</v>
      </c>
      <c r="E104" s="12" t="n">
        <f aca="false">Inputs!$B$9+Inputs!$B$5*SIN(RADIANS(A104))</f>
        <v>1.13954195485488</v>
      </c>
      <c r="F104" s="12" t="n">
        <f aca="false">-Inputs!$B$6*(1-COS(RADIANS(C104)))</f>
        <v>-0.126472105083583</v>
      </c>
      <c r="G104" s="12" t="n">
        <f aca="false">C104*Inputs!$B$7</f>
        <v>12.6661123554741</v>
      </c>
      <c r="H104" s="12" t="n">
        <f aca="false">SQRT(D104^2+E104^2)</f>
        <v>1.165</v>
      </c>
    </row>
    <row r="105" customFormat="false" ht="15" hidden="false" customHeight="false" outlineLevel="0" collapsed="false">
      <c r="A105" s="12" t="n">
        <f aca="false">103*Inputs!$B$10*Inputs!$B$7</f>
        <v>103</v>
      </c>
      <c r="B105" s="12" t="n">
        <f aca="false">103*Inputs!$B$10</f>
        <v>103</v>
      </c>
      <c r="C105" s="12" t="n">
        <f aca="false">DEGREES(ASIN(MIN(MAX(Inputs!$B$5/Inputs!$B$6*SIN(RADIANS(A105)),-1),1)))</f>
        <v>12.6163888552857</v>
      </c>
      <c r="D105" s="12" t="n">
        <f aca="false">Inputs!$B$8+Inputs!$B$5*COS(RADIANS(A105))</f>
        <v>-0.262067978310603</v>
      </c>
      <c r="E105" s="12" t="n">
        <f aca="false">Inputs!$B$9+Inputs!$B$5*SIN(RADIANS(A105))</f>
        <v>1.1351411254748</v>
      </c>
      <c r="F105" s="12" t="n">
        <f aca="false">-Inputs!$B$6*(1-COS(RADIANS(C105)))</f>
        <v>-0.125485075911163</v>
      </c>
      <c r="G105" s="12" t="n">
        <f aca="false">C105*Inputs!$B$7</f>
        <v>12.6163888552857</v>
      </c>
      <c r="H105" s="12" t="n">
        <f aca="false">SQRT(D105^2+E105^2)</f>
        <v>1.165</v>
      </c>
    </row>
    <row r="106" customFormat="false" ht="15" hidden="false" customHeight="false" outlineLevel="0" collapsed="false">
      <c r="A106" s="12" t="n">
        <f aca="false">104*Inputs!$B$10*Inputs!$B$7</f>
        <v>104</v>
      </c>
      <c r="B106" s="12" t="n">
        <f aca="false">104*Inputs!$B$10</f>
        <v>104</v>
      </c>
      <c r="C106" s="12" t="n">
        <f aca="false">DEGREES(ASIN(MIN(MAX(Inputs!$B$5/Inputs!$B$6*SIN(RADIANS(A106)),-1),1)))</f>
        <v>12.5627693824762</v>
      </c>
      <c r="D106" s="12" t="n">
        <f aca="false">Inputs!$B$8+Inputs!$B$5*COS(RADIANS(A106))</f>
        <v>-0.281839008373613</v>
      </c>
      <c r="E106" s="12" t="n">
        <f aca="false">Inputs!$B$9+Inputs!$B$5*SIN(RADIANS(A106))</f>
        <v>1.13039452111154</v>
      </c>
      <c r="F106" s="12" t="n">
        <f aca="false">-Inputs!$B$6*(1-COS(RADIANS(C106)))</f>
        <v>-0.124424990535771</v>
      </c>
      <c r="G106" s="12" t="n">
        <f aca="false">C106*Inputs!$B$7</f>
        <v>12.5627693824762</v>
      </c>
      <c r="H106" s="12" t="n">
        <f aca="false">SQRT(D106^2+E106^2)</f>
        <v>1.165</v>
      </c>
    </row>
    <row r="107" customFormat="false" ht="15" hidden="false" customHeight="false" outlineLevel="0" collapsed="false">
      <c r="A107" s="12" t="n">
        <f aca="false">105*Inputs!$B$10*Inputs!$B$7</f>
        <v>105</v>
      </c>
      <c r="B107" s="12" t="n">
        <f aca="false">105*Inputs!$B$10</f>
        <v>105</v>
      </c>
      <c r="C107" s="12" t="n">
        <f aca="false">DEGREES(ASIN(MIN(MAX(Inputs!$B$5/Inputs!$B$6*SIN(RADIANS(A107)),-1),1)))</f>
        <v>12.5052726594297</v>
      </c>
      <c r="D107" s="12" t="n">
        <f aca="false">Inputs!$B$8+Inputs!$B$5*COS(RADIANS(A107))</f>
        <v>-0.301524187544437</v>
      </c>
      <c r="E107" s="12" t="n">
        <f aca="false">Inputs!$B$9+Inputs!$B$5*SIN(RADIANS(A107))</f>
        <v>1.12530358762676</v>
      </c>
      <c r="F107" s="12" t="n">
        <f aca="false">-Inputs!$B$6*(1-COS(RADIANS(C107)))</f>
        <v>-0.123293185877378</v>
      </c>
      <c r="G107" s="12" t="n">
        <f aca="false">C107*Inputs!$B$7</f>
        <v>12.5052726594297</v>
      </c>
      <c r="H107" s="12" t="n">
        <f aca="false">SQRT(D107^2+E107^2)</f>
        <v>1.165</v>
      </c>
    </row>
    <row r="108" customFormat="false" ht="15" hidden="false" customHeight="false" outlineLevel="0" collapsed="false">
      <c r="A108" s="12" t="n">
        <f aca="false">106*Inputs!$B$10*Inputs!$B$7</f>
        <v>106</v>
      </c>
      <c r="B108" s="12" t="n">
        <f aca="false">106*Inputs!$B$10</f>
        <v>106</v>
      </c>
      <c r="C108" s="12" t="n">
        <f aca="false">DEGREES(ASIN(MIN(MAX(Inputs!$B$5/Inputs!$B$6*SIN(RADIANS(A108)),-1),1)))</f>
        <v>12.4439187299377</v>
      </c>
      <c r="D108" s="12" t="n">
        <f aca="false">Inputs!$B$8+Inputs!$B$5*COS(RADIANS(A108))</f>
        <v>-0.321117519526804</v>
      </c>
      <c r="E108" s="12" t="n">
        <f aca="false">Inputs!$B$9+Inputs!$B$5*SIN(RADIANS(A108))</f>
        <v>1.11986987576814</v>
      </c>
      <c r="F108" s="12" t="n">
        <f aca="false">-Inputs!$B$6*(1-COS(RADIANS(C108)))</f>
        <v>-0.122091088369462</v>
      </c>
      <c r="G108" s="12" t="n">
        <f aca="false">C108*Inputs!$B$7</f>
        <v>12.4439187299377</v>
      </c>
      <c r="H108" s="12" t="n">
        <f aca="false">SQRT(D108^2+E108^2)</f>
        <v>1.165</v>
      </c>
    </row>
    <row r="109" customFormat="false" ht="15" hidden="false" customHeight="false" outlineLevel="0" collapsed="false">
      <c r="A109" s="12" t="n">
        <f aca="false">107*Inputs!$B$10*Inputs!$B$7</f>
        <v>107</v>
      </c>
      <c r="B109" s="12" t="n">
        <f aca="false">107*Inputs!$B$10</f>
        <v>107</v>
      </c>
      <c r="C109" s="12" t="n">
        <f aca="false">DEGREES(ASIN(MIN(MAX(Inputs!$B$5/Inputs!$B$6*SIN(RADIANS(A109)),-1),1)))</f>
        <v>12.3787289456573</v>
      </c>
      <c r="D109" s="12" t="n">
        <f aca="false">Inputs!$B$8+Inputs!$B$5*COS(RADIANS(A109))</f>
        <v>-0.340613036001988</v>
      </c>
      <c r="E109" s="12" t="n">
        <f aca="false">Inputs!$B$9+Inputs!$B$5*SIN(RADIANS(A109))</f>
        <v>1.11409504069694</v>
      </c>
      <c r="F109" s="12" t="n">
        <f aca="false">-Inputs!$B$6*(1-COS(RADIANS(C109)))</f>
        <v>-0.120820211980815</v>
      </c>
      <c r="G109" s="12" t="n">
        <f aca="false">C109*Inputs!$B$7</f>
        <v>12.3787289456573</v>
      </c>
      <c r="H109" s="12" t="n">
        <f aca="false">SQRT(D109^2+E109^2)</f>
        <v>1.165</v>
      </c>
    </row>
    <row r="110" customFormat="false" ht="15" hidden="false" customHeight="false" outlineLevel="0" collapsed="false">
      <c r="A110" s="12" t="n">
        <f aca="false">108*Inputs!$B$10*Inputs!$B$7</f>
        <v>108</v>
      </c>
      <c r="B110" s="12" t="n">
        <f aca="false">108*Inputs!$B$10</f>
        <v>108</v>
      </c>
      <c r="C110" s="12" t="n">
        <f aca="false">DEGREES(ASIN(MIN(MAX(Inputs!$B$5/Inputs!$B$6*SIN(RADIANS(A110)),-1),1)))</f>
        <v>12.3097259517984</v>
      </c>
      <c r="D110" s="12" t="n">
        <f aca="false">Inputs!$B$8+Inputs!$B$5*COS(RADIANS(A110))</f>
        <v>-0.360004798446814</v>
      </c>
      <c r="E110" s="12" t="n">
        <f aca="false">Inputs!$B$9+Inputs!$B$5*SIN(RADIANS(A110))</f>
        <v>1.10798084148385</v>
      </c>
      <c r="F110" s="12" t="n">
        <f aca="false">-Inputs!$B$6*(1-COS(RADIANS(C110)))</f>
        <v>-0.119482156121484</v>
      </c>
      <c r="G110" s="12" t="n">
        <f aca="false">C110*Inputs!$B$7</f>
        <v>12.3097259517984</v>
      </c>
      <c r="H110" s="12" t="n">
        <f aca="false">SQRT(D110^2+E110^2)</f>
        <v>1.165</v>
      </c>
    </row>
    <row r="111" customFormat="false" ht="15" hidden="false" customHeight="false" outlineLevel="0" collapsed="false">
      <c r="A111" s="12" t="n">
        <f aca="false">109*Inputs!$B$10*Inputs!$B$7</f>
        <v>109</v>
      </c>
      <c r="B111" s="12" t="n">
        <f aca="false">109*Inputs!$B$10</f>
        <v>109</v>
      </c>
      <c r="C111" s="12" t="n">
        <f aca="false">DEGREES(ASIN(MIN(MAX(Inputs!$B$5/Inputs!$B$6*SIN(RADIANS(A111)),-1),1)))</f>
        <v>12.2369336720656</v>
      </c>
      <c r="D111" s="12" t="n">
        <f aca="false">Inputs!$B$8+Inputs!$B$5*COS(RADIANS(A111))</f>
        <v>-0.379286899942587</v>
      </c>
      <c r="E111" s="12" t="n">
        <f aca="false">Inputs!$B$9+Inputs!$B$5*SIN(RADIANS(A111))</f>
        <v>1.1015291405732</v>
      </c>
      <c r="F111" s="12" t="n">
        <f aca="false">-Inputs!$B$6*(1-COS(RADIANS(C111)))</f>
        <v>-0.118078603436744</v>
      </c>
      <c r="G111" s="12" t="n">
        <f aca="false">C111*Inputs!$B$7</f>
        <v>12.2369336720656</v>
      </c>
      <c r="H111" s="12" t="n">
        <f aca="false">SQRT(D111^2+E111^2)</f>
        <v>1.165</v>
      </c>
    </row>
    <row r="112" customFormat="false" ht="15" hidden="false" customHeight="false" outlineLevel="0" collapsed="false">
      <c r="A112" s="12" t="n">
        <f aca="false">110*Inputs!$B$10*Inputs!$B$7</f>
        <v>110</v>
      </c>
      <c r="B112" s="12" t="n">
        <f aca="false">110*Inputs!$B$10</f>
        <v>110</v>
      </c>
      <c r="C112" s="12" t="n">
        <f aca="false">DEGREES(ASIN(MIN(MAX(Inputs!$B$5/Inputs!$B$6*SIN(RADIANS(A112)),-1),1)))</f>
        <v>12.1603772928898</v>
      </c>
      <c r="D112" s="12" t="n">
        <f aca="false">Inputs!$B$8+Inputs!$B$5*COS(RADIANS(A112))</f>
        <v>-0.398453466974404</v>
      </c>
      <c r="E112" s="12" t="n">
        <f aca="false">Inputs!$B$9+Inputs!$B$5*SIN(RADIANS(A112))</f>
        <v>1.09474190321558</v>
      </c>
      <c r="F112" s="12" t="n">
        <f aca="false">-Inputs!$B$6*(1-COS(RADIANS(C112)))</f>
        <v>-0.116611317493127</v>
      </c>
      <c r="G112" s="12" t="n">
        <f aca="false">C112*Inputs!$B$7</f>
        <v>12.1603772928898</v>
      </c>
      <c r="H112" s="12" t="n">
        <f aca="false">SQRT(D112^2+E112^2)</f>
        <v>1.165</v>
      </c>
    </row>
    <row r="113" customFormat="false" ht="15" hidden="false" customHeight="false" outlineLevel="0" collapsed="false">
      <c r="A113" s="12" t="n">
        <f aca="false">111*Inputs!$B$10*Inputs!$B$7</f>
        <v>111</v>
      </c>
      <c r="B113" s="12" t="n">
        <f aca="false">111*Inputs!$B$10</f>
        <v>111</v>
      </c>
      <c r="C113" s="12" t="n">
        <f aca="false">DEGREES(ASIN(MIN(MAX(Inputs!$B$5/Inputs!$B$6*SIN(RADIANS(A113)),-1),1)))</f>
        <v>12.0800832469791</v>
      </c>
      <c r="D113" s="12" t="n">
        <f aca="false">Inputs!$B$8+Inputs!$B$5*COS(RADIANS(A113))</f>
        <v>-0.417498661220275</v>
      </c>
      <c r="E113" s="12" t="n">
        <f aca="false">Inputs!$B$9+Inputs!$B$5*SIN(RADIANS(A113))</f>
        <v>1.08762119686924</v>
      </c>
      <c r="F113" s="12" t="n">
        <f aca="false">-Inputs!$B$6*(1-COS(RADIANS(C113)))</f>
        <v>-0.115082140360716</v>
      </c>
      <c r="G113" s="12" t="n">
        <f aca="false">C113*Inputs!$B$7</f>
        <v>12.0800832469791</v>
      </c>
      <c r="H113" s="12" t="n">
        <f aca="false">SQRT(D113^2+E113^2)</f>
        <v>1.165</v>
      </c>
    </row>
    <row r="114" customFormat="false" ht="15" hidden="false" customHeight="false" outlineLevel="0" collapsed="false">
      <c r="A114" s="12" t="n">
        <f aca="false">112*Inputs!$B$10*Inputs!$B$7</f>
        <v>112</v>
      </c>
      <c r="B114" s="12" t="n">
        <f aca="false">112*Inputs!$B$10</f>
        <v>112</v>
      </c>
      <c r="C114" s="12" t="n">
        <f aca="false">DEGREES(ASIN(MIN(MAX(Inputs!$B$5/Inputs!$B$6*SIN(RADIANS(A114)),-1),1)))</f>
        <v>11.9960791962229</v>
      </c>
      <c r="D114" s="12" t="n">
        <f aca="false">Inputs!$B$8+Inputs!$B$5*COS(RADIANS(A114))</f>
        <v>-0.436416681329538</v>
      </c>
      <c r="E114" s="12" t="n">
        <f aca="false">Inputs!$B$9+Inputs!$B$5*SIN(RADIANS(A114))</f>
        <v>1.08016919057031</v>
      </c>
      <c r="F114" s="12" t="n">
        <f aca="false">-Inputs!$B$6*(1-COS(RADIANS(C114)))</f>
        <v>-0.113492990096041</v>
      </c>
      <c r="G114" s="12" t="n">
        <f aca="false">C114*Inputs!$B$7</f>
        <v>11.9960791962229</v>
      </c>
      <c r="H114" s="12" t="n">
        <f aca="false">SQRT(D114^2+E114^2)</f>
        <v>1.165</v>
      </c>
    </row>
    <row r="115" customFormat="false" ht="15" hidden="false" customHeight="false" outlineLevel="0" collapsed="false">
      <c r="A115" s="12" t="n">
        <f aca="false">113*Inputs!$B$10*Inputs!$B$7</f>
        <v>113</v>
      </c>
      <c r="B115" s="12" t="n">
        <f aca="false">113*Inputs!$B$10</f>
        <v>113</v>
      </c>
      <c r="C115" s="12" t="n">
        <f aca="false">DEGREES(ASIN(MIN(MAX(Inputs!$B$5/Inputs!$B$6*SIN(RADIANS(A115)),-1),1)))</f>
        <v>11.9083940139834</v>
      </c>
      <c r="D115" s="12" t="n">
        <f aca="false">Inputs!$B$8+Inputs!$B$5*COS(RADIANS(A115))</f>
        <v>-0.455201764690004</v>
      </c>
      <c r="E115" s="12" t="n">
        <f aca="false">Inputs!$B$9+Inputs!$B$5*SIN(RADIANS(A115))</f>
        <v>1.07238815427209</v>
      </c>
      <c r="F115" s="12" t="n">
        <f aca="false">-Inputs!$B$6*(1-COS(RADIANS(C115)))</f>
        <v>-0.111845858130071</v>
      </c>
      <c r="G115" s="12" t="n">
        <f aca="false">C115*Inputs!$B$7</f>
        <v>11.9083940139834</v>
      </c>
      <c r="H115" s="12" t="n">
        <f aca="false">SQRT(D115^2+E115^2)</f>
        <v>1.165</v>
      </c>
    </row>
    <row r="116" customFormat="false" ht="15" hidden="false" customHeight="false" outlineLevel="0" collapsed="false">
      <c r="A116" s="12" t="n">
        <f aca="false">114*Inputs!$B$10*Inputs!$B$7</f>
        <v>114</v>
      </c>
      <c r="B116" s="12" t="n">
        <f aca="false">114*Inputs!$B$10</f>
        <v>114</v>
      </c>
      <c r="C116" s="12" t="n">
        <f aca="false">DEGREES(ASIN(MIN(MAX(Inputs!$B$5/Inputs!$B$6*SIN(RADIANS(A116)),-1),1)))</f>
        <v>11.8170577668095</v>
      </c>
      <c r="D116" s="12" t="n">
        <f aca="false">Inputs!$B$8+Inputs!$B$5*COS(RADIANS(A116))</f>
        <v>-0.473848189183307</v>
      </c>
      <c r="E116" s="12" t="n">
        <f aca="false">Inputs!$B$9+Inputs!$B$5*SIN(RADIANS(A116))</f>
        <v>1.06428045815363</v>
      </c>
      <c r="F116" s="12" t="n">
        <f aca="false">-Inputs!$B$6*(1-COS(RADIANS(C116)))</f>
        <v>-0.110142806565895</v>
      </c>
      <c r="G116" s="12" t="n">
        <f aca="false">C116*Inputs!$B$7</f>
        <v>11.8170577668095</v>
      </c>
      <c r="H116" s="12" t="n">
        <f aca="false">SQRT(D116^2+E116^2)</f>
        <v>1.165</v>
      </c>
    </row>
    <row r="117" customFormat="false" ht="15" hidden="false" customHeight="false" outlineLevel="0" collapsed="false">
      <c r="A117" s="12" t="n">
        <f aca="false">115*Inputs!$B$10*Inputs!$B$7</f>
        <v>115</v>
      </c>
      <c r="B117" s="12" t="n">
        <f aca="false">115*Inputs!$B$10</f>
        <v>115</v>
      </c>
      <c r="C117" s="12" t="n">
        <f aca="false">DEGREES(ASIN(MIN(MAX(Inputs!$B$5/Inputs!$B$6*SIN(RADIANS(A117)),-1),1)))</f>
        <v>11.7221016956075</v>
      </c>
      <c r="D117" s="12" t="n">
        <f aca="false">Inputs!$B$8+Inputs!$B$5*COS(RADIANS(A117))</f>
        <v>-0.492350274927915</v>
      </c>
      <c r="E117" s="12" t="n">
        <f aca="false">Inputs!$B$9+Inputs!$B$5*SIN(RADIANS(A117))</f>
        <v>1.0558485718977</v>
      </c>
      <c r="F117" s="12" t="n">
        <f aca="false">-Inputs!$B$6*(1-COS(RADIANS(C117)))</f>
        <v>-0.108385965390812</v>
      </c>
      <c r="G117" s="12" t="n">
        <f aca="false">C117*Inputs!$B$7</f>
        <v>11.7221016956075</v>
      </c>
      <c r="H117" s="12" t="n">
        <f aca="false">SQRT(D117^2+E117^2)</f>
        <v>1.165</v>
      </c>
    </row>
    <row r="118" customFormat="false" ht="15" hidden="false" customHeight="false" outlineLevel="0" collapsed="false">
      <c r="A118" s="12" t="n">
        <f aca="false">116*Inputs!$B$10*Inputs!$B$7</f>
        <v>116</v>
      </c>
      <c r="B118" s="12" t="n">
        <f aca="false">116*Inputs!$B$10</f>
        <v>116</v>
      </c>
      <c r="C118" s="12" t="n">
        <f aca="false">DEGREES(ASIN(MIN(MAX(Inputs!$B$5/Inputs!$B$6*SIN(RADIANS(A118)),-1),1)))</f>
        <v>11.6235581963057</v>
      </c>
      <c r="D118" s="12" t="n">
        <f aca="false">Inputs!$B$8+Inputs!$B$5*COS(RADIANS(A118))</f>
        <v>-0.510702386009275</v>
      </c>
      <c r="E118" s="12" t="n">
        <f aca="false">Inputs!$B$9+Inputs!$B$5*SIN(RADIANS(A118))</f>
        <v>1.04709506393853</v>
      </c>
      <c r="F118" s="12" t="n">
        <f aca="false">-Inputs!$B$6*(1-COS(RADIANS(C118)))</f>
        <v>-0.106577529607629</v>
      </c>
      <c r="G118" s="12" t="n">
        <f aca="false">C118*Inputs!$B$7</f>
        <v>11.6235581963057</v>
      </c>
      <c r="H118" s="12" t="n">
        <f aca="false">SQRT(D118^2+E118^2)</f>
        <v>1.165</v>
      </c>
    </row>
    <row r="119" customFormat="false" ht="15" hidden="false" customHeight="false" outlineLevel="0" collapsed="false">
      <c r="A119" s="12" t="n">
        <f aca="false">117*Inputs!$B$10*Inputs!$B$7</f>
        <v>117</v>
      </c>
      <c r="B119" s="12" t="n">
        <f aca="false">117*Inputs!$B$10</f>
        <v>117</v>
      </c>
      <c r="C119" s="12" t="n">
        <f aca="false">DEGREES(ASIN(MIN(MAX(Inputs!$B$5/Inputs!$B$6*SIN(RADIANS(A119)),-1),1)))</f>
        <v>11.5214608000484</v>
      </c>
      <c r="D119" s="12" t="n">
        <f aca="false">Inputs!$B$8+Inputs!$B$5*COS(RADIANS(A119))</f>
        <v>-0.528898932196572</v>
      </c>
      <c r="E119" s="12" t="n">
        <f aca="false">Inputs!$B$9+Inputs!$B$5*SIN(RADIANS(A119))</f>
        <v>1.03802260067945</v>
      </c>
      <c r="F119" s="12" t="n">
        <f aca="false">-Inputs!$B$6*(1-COS(RADIANS(C119)))</f>
        <v>-0.10471975629005</v>
      </c>
      <c r="G119" s="12" t="n">
        <f aca="false">C119*Inputs!$B$7</f>
        <v>11.5214608000484</v>
      </c>
      <c r="H119" s="12" t="n">
        <f aca="false">SQRT(D119^2+E119^2)</f>
        <v>1.165</v>
      </c>
    </row>
    <row r="120" customFormat="false" ht="15" hidden="false" customHeight="false" outlineLevel="0" collapsed="false">
      <c r="A120" s="12" t="n">
        <f aca="false">118*Inputs!$B$10*Inputs!$B$7</f>
        <v>118</v>
      </c>
      <c r="B120" s="12" t="n">
        <f aca="false">118*Inputs!$B$10</f>
        <v>118</v>
      </c>
      <c r="C120" s="12" t="n">
        <f aca="false">DEGREES(ASIN(MIN(MAX(Inputs!$B$5/Inputs!$B$6*SIN(RADIANS(A120)),-1),1)))</f>
        <v>11.4158441529558</v>
      </c>
      <c r="D120" s="12" t="n">
        <f aca="false">Inputs!$B$8+Inputs!$B$5*COS(RADIANS(A120))</f>
        <v>-0.546934370645563</v>
      </c>
      <c r="E120" s="12" t="n">
        <f aca="false">Inputs!$B$9+Inputs!$B$5*SIN(RADIANS(A120))</f>
        <v>1.02863394568065</v>
      </c>
      <c r="F120" s="12" t="n">
        <f aca="false">-Inputs!$B$6*(1-COS(RADIANS(C120)))</f>
        <v>-0.102814961567115</v>
      </c>
      <c r="G120" s="12" t="n">
        <f aca="false">C120*Inputs!$B$7</f>
        <v>11.4158441529558</v>
      </c>
      <c r="H120" s="12" t="n">
        <f aca="false">SQRT(D120^2+E120^2)</f>
        <v>1.165</v>
      </c>
    </row>
    <row r="121" customFormat="false" ht="15" hidden="false" customHeight="false" outlineLevel="0" collapsed="false">
      <c r="A121" s="12" t="n">
        <f aca="false">119*Inputs!$B$10*Inputs!$B$7</f>
        <v>119</v>
      </c>
      <c r="B121" s="12" t="n">
        <f aca="false">119*Inputs!$B$10</f>
        <v>119</v>
      </c>
      <c r="C121" s="12" t="n">
        <f aca="false">DEGREES(ASIN(MIN(MAX(Inputs!$B$5/Inputs!$B$6*SIN(RADIANS(A121)),-1),1)))</f>
        <v>11.3067439954866</v>
      </c>
      <c r="D121" s="12" t="n">
        <f aca="false">Inputs!$B$8+Inputs!$B$5*COS(RADIANS(A121))</f>
        <v>-0.564803207586983</v>
      </c>
      <c r="E121" s="12" t="n">
        <f aca="false">Inputs!$B$9+Inputs!$B$5*SIN(RADIANS(A121))</f>
        <v>1.0189319588174</v>
      </c>
      <c r="F121" s="12" t="n">
        <f aca="false">-Inputs!$B$6*(1-COS(RADIANS(C121)))</f>
        <v>-0.100865517541698</v>
      </c>
      <c r="G121" s="12" t="n">
        <f aca="false">C121*Inputs!$B$7</f>
        <v>11.3067439954866</v>
      </c>
      <c r="H121" s="12" t="n">
        <f aca="false">SQRT(D121^2+E121^2)</f>
        <v>1.165</v>
      </c>
    </row>
    <row r="122" customFormat="false" ht="15" hidden="false" customHeight="false" outlineLevel="0" collapsed="false">
      <c r="A122" s="12" t="n">
        <f aca="false">120*Inputs!$B$10*Inputs!$B$7</f>
        <v>120</v>
      </c>
      <c r="B122" s="12" t="n">
        <f aca="false">120*Inputs!$B$10</f>
        <v>120</v>
      </c>
      <c r="C122" s="12" t="n">
        <f aca="false">DEGREES(ASIN(MIN(MAX(Inputs!$B$5/Inputs!$B$6*SIN(RADIANS(A122)),-1),1)))</f>
        <v>11.1941971414408</v>
      </c>
      <c r="D122" s="12" t="n">
        <f aca="false">Inputs!$B$8+Inputs!$B$5*COS(RADIANS(A122))</f>
        <v>-0.5825</v>
      </c>
      <c r="E122" s="12" t="n">
        <f aca="false">Inputs!$B$9+Inputs!$B$5*SIN(RADIANS(A122))</f>
        <v>1.00891959540887</v>
      </c>
      <c r="F122" s="12" t="n">
        <f aca="false">-Inputs!$B$6*(1-COS(RADIANS(C122)))</f>
        <v>-0.0988738491481011</v>
      </c>
      <c r="G122" s="12" t="n">
        <f aca="false">C122*Inputs!$B$7</f>
        <v>11.1941971414408</v>
      </c>
      <c r="H122" s="12" t="n">
        <f aca="false">SQRT(D122^2+E122^2)</f>
        <v>1.165</v>
      </c>
    </row>
    <row r="123" customFormat="false" ht="15" hidden="false" customHeight="false" outlineLevel="0" collapsed="false">
      <c r="A123" s="12" t="n">
        <f aca="false">121*Inputs!$B$10*Inputs!$B$7</f>
        <v>121</v>
      </c>
      <c r="B123" s="12" t="n">
        <f aca="false">121*Inputs!$B$10</f>
        <v>121</v>
      </c>
      <c r="C123" s="12" t="n">
        <f aca="false">DEGREES(ASIN(MIN(MAX(Inputs!$B$5/Inputs!$B$6*SIN(RADIANS(A123)),-1),1)))</f>
        <v>11.0782414566374</v>
      </c>
      <c r="D123" s="12" t="n">
        <f aca="false">Inputs!$B$8+Inputs!$B$5*COS(RADIANS(A123))</f>
        <v>-0.600019357270213</v>
      </c>
      <c r="E123" s="12" t="n">
        <f aca="false">Inputs!$B$9+Inputs!$B$5*SIN(RADIANS(A123))</f>
        <v>0.998599905317961</v>
      </c>
      <c r="F123" s="12" t="n">
        <f aca="false">-Inputs!$B$6*(1-COS(RADIANS(C123)))</f>
        <v>-0.096842430953828</v>
      </c>
      <c r="G123" s="12" t="n">
        <f aca="false">C123*Inputs!$B$7</f>
        <v>11.0782414566374</v>
      </c>
      <c r="H123" s="12" t="n">
        <f aca="false">SQRT(D123^2+E123^2)</f>
        <v>1.165</v>
      </c>
    </row>
    <row r="124" customFormat="false" ht="15" hidden="false" customHeight="false" outlineLevel="0" collapsed="false">
      <c r="A124" s="12" t="n">
        <f aca="false">122*Inputs!$B$10*Inputs!$B$7</f>
        <v>122</v>
      </c>
      <c r="B124" s="12" t="n">
        <f aca="false">122*Inputs!$B$10</f>
        <v>122</v>
      </c>
      <c r="C124" s="12" t="n">
        <f aca="false">DEGREES(ASIN(MIN(MAX(Inputs!$B$5/Inputs!$B$6*SIN(RADIANS(A124)),-1),1)))</f>
        <v>10.9589158373049</v>
      </c>
      <c r="D124" s="12" t="n">
        <f aca="false">Inputs!$B$8+Inputs!$B$5*COS(RADIANS(A124))</f>
        <v>-0.617355942831684</v>
      </c>
      <c r="E124" s="12" t="n">
        <f aca="false">Inputs!$B$9+Inputs!$B$5*SIN(RADIANS(A124))</f>
        <v>0.987976032022236</v>
      </c>
      <c r="F124" s="12" t="n">
        <f aca="false">-Inputs!$B$6*(1-COS(RADIANS(C124)))</f>
        <v>-0.0947737839106353</v>
      </c>
      <c r="G124" s="12" t="n">
        <f aca="false">C124*Inputs!$B$7</f>
        <v>10.9589158373049</v>
      </c>
      <c r="H124" s="12" t="n">
        <f aca="false">SQRT(D124^2+E124^2)</f>
        <v>1.165</v>
      </c>
    </row>
    <row r="125" customFormat="false" ht="15" hidden="false" customHeight="false" outlineLevel="0" collapsed="false">
      <c r="A125" s="12" t="n">
        <f aca="false">123*Inputs!$B$10*Inputs!$B$7</f>
        <v>123</v>
      </c>
      <c r="B125" s="12" t="n">
        <f aca="false">123*Inputs!$B$10</f>
        <v>123</v>
      </c>
      <c r="C125" s="12" t="n">
        <f aca="false">DEGREES(ASIN(MIN(MAX(Inputs!$B$5/Inputs!$B$6*SIN(RADIANS(A125)),-1),1)))</f>
        <v>10.8362601882202</v>
      </c>
      <c r="D125" s="12" t="n">
        <f aca="false">Inputs!$B$8+Inputs!$B$5*COS(RADIANS(A125))</f>
        <v>-0.634504475792507</v>
      </c>
      <c r="E125" s="12" t="n">
        <f aca="false">Inputs!$B$9+Inputs!$B$5*SIN(RADIANS(A125))</f>
        <v>0.977051211656419</v>
      </c>
      <c r="F125" s="12" t="n">
        <f aca="false">-Inputs!$B$6*(1-COS(RADIANS(C125)))</f>
        <v>-0.0926704720599472</v>
      </c>
      <c r="G125" s="12" t="n">
        <f aca="false">C125*Inputs!$B$7</f>
        <v>10.8362601882202</v>
      </c>
      <c r="H125" s="12" t="n">
        <f aca="false">SQRT(D125^2+E125^2)</f>
        <v>1.165</v>
      </c>
    </row>
    <row r="126" customFormat="false" ht="15" hidden="false" customHeight="false" outlineLevel="0" collapsed="false">
      <c r="A126" s="12" t="n">
        <f aca="false">124*Inputs!$B$10*Inputs!$B$7</f>
        <v>124</v>
      </c>
      <c r="B126" s="12" t="n">
        <f aca="false">124*Inputs!$B$10</f>
        <v>124</v>
      </c>
      <c r="C126" s="12" t="n">
        <f aca="false">DEGREES(ASIN(MIN(MAX(Inputs!$B$5/Inputs!$B$6*SIN(RADIANS(A126)),-1),1)))</f>
        <v>10.7103154006313</v>
      </c>
      <c r="D126" s="12" t="n">
        <f aca="false">Inputs!$B$8+Inputs!$B$5*COS(RADIANS(A126))</f>
        <v>-0.65145973254342</v>
      </c>
      <c r="E126" s="12" t="n">
        <f aca="false">Inputs!$B$9+Inputs!$B$5*SIN(RADIANS(A126))</f>
        <v>0.965828772026624</v>
      </c>
      <c r="F126" s="12" t="n">
        <f aca="false">-Inputs!$B$6*(1-COS(RADIANS(C126)))</f>
        <v>-0.0905350991977294</v>
      </c>
      <c r="G126" s="12" t="n">
        <f aca="false">C126*Inputs!$B$7</f>
        <v>10.7103154006313</v>
      </c>
      <c r="H126" s="12" t="n">
        <f aca="false">SQRT(D126^2+E126^2)</f>
        <v>1.165</v>
      </c>
    </row>
    <row r="127" customFormat="false" ht="15" hidden="false" customHeight="false" outlineLevel="0" collapsed="false">
      <c r="A127" s="12" t="n">
        <f aca="false">125*Inputs!$B$10*Inputs!$B$7</f>
        <v>125</v>
      </c>
      <c r="B127" s="12" t="n">
        <f aca="false">125*Inputs!$B$10</f>
        <v>125</v>
      </c>
      <c r="C127" s="12" t="n">
        <f aca="false">DEGREES(ASIN(MIN(MAX(Inputs!$B$5/Inputs!$B$6*SIN(RADIANS(A127)),-1),1)))</f>
        <v>10.5811233299994</v>
      </c>
      <c r="D127" s="12" t="n">
        <f aca="false">Inputs!$B$8+Inputs!$B$5*COS(RADIANS(A127))</f>
        <v>-0.668216548348968</v>
      </c>
      <c r="E127" s="12" t="n">
        <f aca="false">Inputs!$B$9+Inputs!$B$5*SIN(RADIANS(A127))</f>
        <v>0.954312131596676</v>
      </c>
      <c r="F127" s="12" t="n">
        <f aca="false">-Inputs!$B$6*(1-COS(RADIANS(C127)))</f>
        <v>-0.088370305503891</v>
      </c>
      <c r="G127" s="12" t="n">
        <f aca="false">C127*Inputs!$B$7</f>
        <v>10.5811233299994</v>
      </c>
      <c r="H127" s="12" t="n">
        <f aca="false">SQRT(D127^2+E127^2)</f>
        <v>1.165</v>
      </c>
    </row>
    <row r="128" customFormat="false" ht="15" hidden="false" customHeight="false" outlineLevel="0" collapsed="false">
      <c r="A128" s="12" t="n">
        <f aca="false">126*Inputs!$B$10*Inputs!$B$7</f>
        <v>126</v>
      </c>
      <c r="B128" s="12" t="n">
        <f aca="false">126*Inputs!$B$10</f>
        <v>126</v>
      </c>
      <c r="C128" s="12" t="n">
        <f aca="false">DEGREES(ASIN(MIN(MAX(Inputs!$B$5/Inputs!$B$6*SIN(RADIANS(A128)),-1),1)))</f>
        <v>10.4487267735937</v>
      </c>
      <c r="D128" s="12" t="n">
        <f aca="false">Inputs!$B$8+Inputs!$B$5*COS(RADIANS(A128))</f>
        <v>-0.684769818920731</v>
      </c>
      <c r="E128" s="12" t="n">
        <f aca="false">Inputs!$B$9+Inputs!$B$5*SIN(RADIANS(A128))</f>
        <v>0.942504798446814</v>
      </c>
      <c r="F128" s="12" t="n">
        <f aca="false">-Inputs!$B$6*(1-COS(RADIANS(C128)))</f>
        <v>-0.0861787641412527</v>
      </c>
      <c r="G128" s="12" t="n">
        <f aca="false">C128*Inputs!$B$7</f>
        <v>10.4487267735937</v>
      </c>
      <c r="H128" s="12" t="n">
        <f aca="false">SQRT(D128^2+E128^2)</f>
        <v>1.165</v>
      </c>
    </row>
    <row r="129" customFormat="false" ht="15" hidden="false" customHeight="false" outlineLevel="0" collapsed="false">
      <c r="A129" s="12" t="n">
        <f aca="false">127*Inputs!$B$10*Inputs!$B$7</f>
        <v>127</v>
      </c>
      <c r="B129" s="12" t="n">
        <f aca="false">127*Inputs!$B$10</f>
        <v>127</v>
      </c>
      <c r="C129" s="12" t="n">
        <f aca="false">DEGREES(ASIN(MIN(MAX(Inputs!$B$5/Inputs!$B$6*SIN(RADIANS(A129)),-1),1)))</f>
        <v>10.3131694479746</v>
      </c>
      <c r="D129" s="12" t="n">
        <f aca="false">Inputs!$B$8+Inputs!$B$5*COS(RADIANS(A129))</f>
        <v>-0.701114501972136</v>
      </c>
      <c r="E129" s="12" t="n">
        <f aca="false">Inputs!$B$9+Inputs!$B$5*SIN(RADIANS(A129))</f>
        <v>0.930410369205096</v>
      </c>
      <c r="F129" s="12" t="n">
        <f aca="false">-Inputs!$B$6*(1-COS(RADIANS(C129)))</f>
        <v>-0.0839631778290863</v>
      </c>
      <c r="G129" s="12" t="n">
        <f aca="false">C129*Inputs!$B$7</f>
        <v>10.3131694479746</v>
      </c>
      <c r="H129" s="12" t="n">
        <f aca="false">SQRT(D129^2+E129^2)</f>
        <v>1.165</v>
      </c>
    </row>
    <row r="130" customFormat="false" ht="15" hidden="false" customHeight="false" outlineLevel="0" collapsed="false">
      <c r="A130" s="12" t="n">
        <f aca="false">128*Inputs!$B$10*Inputs!$B$7</f>
        <v>128</v>
      </c>
      <c r="B130" s="12" t="n">
        <f aca="false">128*Inputs!$B$10</f>
        <v>128</v>
      </c>
      <c r="C130" s="12" t="n">
        <f aca="false">DEGREES(ASIN(MIN(MAX(Inputs!$B$5/Inputs!$B$6*SIN(RADIANS(A130)),-1),1)))</f>
        <v>10.1744959663959</v>
      </c>
      <c r="D130" s="12" t="n">
        <f aca="false">Inputs!$B$8+Inputs!$B$5*COS(RADIANS(A130))</f>
        <v>-0.717245618754392</v>
      </c>
      <c r="E130" s="12" t="n">
        <f aca="false">Inputs!$B$9+Inputs!$B$5*SIN(RADIANS(A130))</f>
        <v>0.918032527951831</v>
      </c>
      <c r="F130" s="12" t="n">
        <f aca="false">-Inputs!$B$6*(1-COS(RADIANS(C130)))</f>
        <v>-0.0817262753961668</v>
      </c>
      <c r="G130" s="12" t="n">
        <f aca="false">C130*Inputs!$B$7</f>
        <v>10.1744959663959</v>
      </c>
      <c r="H130" s="12" t="n">
        <f aca="false">SQRT(D130^2+E130^2)</f>
        <v>1.165</v>
      </c>
    </row>
    <row r="131" customFormat="false" ht="15" hidden="false" customHeight="false" outlineLevel="0" collapsed="false">
      <c r="A131" s="12" t="n">
        <f aca="false">129*Inputs!$B$10*Inputs!$B$7</f>
        <v>129</v>
      </c>
      <c r="B131" s="12" t="n">
        <f aca="false">129*Inputs!$B$10</f>
        <v>129</v>
      </c>
      <c r="C131" s="12" t="n">
        <f aca="false">DEGREES(ASIN(MIN(MAX(Inputs!$B$5/Inputs!$B$6*SIN(RADIANS(A131)),-1),1)))</f>
        <v>10.0327518161609</v>
      </c>
      <c r="D131" s="12" t="n">
        <f aca="false">Inputs!$B$8+Inputs!$B$5*COS(RADIANS(A131))</f>
        <v>-0.733158255573061</v>
      </c>
      <c r="E131" s="12" t="n">
        <f aca="false">Inputs!$B$9+Inputs!$B$5*SIN(RADIANS(A131))</f>
        <v>0.905375045097371</v>
      </c>
      <c r="F131" s="12" t="n">
        <f aca="false">-Inputs!$B$6*(1-COS(RADIANS(C131)))</f>
        <v>-0.0794708083182435</v>
      </c>
      <c r="G131" s="12" t="n">
        <f aca="false">C131*Inputs!$B$7</f>
        <v>10.0327518161609</v>
      </c>
      <c r="H131" s="12" t="n">
        <f aca="false">SQRT(D131^2+E131^2)</f>
        <v>1.165</v>
      </c>
    </row>
    <row r="132" customFormat="false" ht="15" hidden="false" customHeight="false" outlineLevel="0" collapsed="false">
      <c r="A132" s="12" t="n">
        <f aca="false">130*Inputs!$B$10*Inputs!$B$7</f>
        <v>130</v>
      </c>
      <c r="B132" s="12" t="n">
        <f aca="false">130*Inputs!$B$10</f>
        <v>130</v>
      </c>
      <c r="C132" s="12" t="n">
        <f aca="false">DEGREES(ASIN(MIN(MAX(Inputs!$B$5/Inputs!$B$6*SIN(RADIANS(A132)),-1),1)))</f>
        <v>9.88798333596029</v>
      </c>
      <c r="D132" s="12" t="n">
        <f aca="false">Inputs!$B$8+Inputs!$B$5*COS(RADIANS(A132))</f>
        <v>-0.748847565284818</v>
      </c>
      <c r="E132" s="12" t="n">
        <f aca="false">Inputs!$B$9+Inputs!$B$5*SIN(RADIANS(A132))</f>
        <v>0.892441776233609</v>
      </c>
      <c r="F132" s="12" t="n">
        <f aca="false">-Inputs!$B$6*(1-COS(RADIANS(C132)))</f>
        <v>-0.0771995472447364</v>
      </c>
      <c r="G132" s="12" t="n">
        <f aca="false">C132*Inputs!$B$7</f>
        <v>9.88798333596029</v>
      </c>
      <c r="H132" s="12" t="n">
        <f aca="false">SQRT(D132^2+E132^2)</f>
        <v>1.165</v>
      </c>
    </row>
    <row r="133" customFormat="false" ht="15" hidden="false" customHeight="false" outlineLevel="0" collapsed="false">
      <c r="A133" s="12" t="n">
        <f aca="false">131*Inputs!$B$10*Inputs!$B$7</f>
        <v>131</v>
      </c>
      <c r="B133" s="12" t="n">
        <f aca="false">131*Inputs!$B$10</f>
        <v>131</v>
      </c>
      <c r="C133" s="12" t="n">
        <f aca="false">DEGREES(ASIN(MIN(MAX(Inputs!$B$5/Inputs!$B$6*SIN(RADIANS(A133)),-1),1)))</f>
        <v>9.74023769322512</v>
      </c>
      <c r="D133" s="12" t="n">
        <f aca="false">Inputs!$B$8+Inputs!$B$5*COS(RADIANS(A133))</f>
        <v>-0.764308768773941</v>
      </c>
      <c r="E133" s="12" t="n">
        <f aca="false">Inputs!$B$9+Inputs!$B$5*SIN(RADIANS(A133))</f>
        <v>0.87923666095953</v>
      </c>
      <c r="F133" s="12" t="n">
        <f aca="false">-Inputs!$B$6*(1-COS(RADIANS(C133)))</f>
        <v>-0.074915278519425</v>
      </c>
      <c r="G133" s="12" t="n">
        <f aca="false">C133*Inputs!$B$7</f>
        <v>9.74023769322512</v>
      </c>
      <c r="H133" s="12" t="n">
        <f aca="false">SQRT(D133^2+E133^2)</f>
        <v>1.165</v>
      </c>
    </row>
    <row r="134" customFormat="false" ht="15" hidden="false" customHeight="false" outlineLevel="0" collapsed="false">
      <c r="A134" s="12" t="n">
        <f aca="false">132*Inputs!$B$10*Inputs!$B$7</f>
        <v>132</v>
      </c>
      <c r="B134" s="12" t="n">
        <f aca="false">132*Inputs!$B$10</f>
        <v>132</v>
      </c>
      <c r="C134" s="12" t="n">
        <f aca="false">DEGREES(ASIN(MIN(MAX(Inputs!$B$5/Inputs!$B$6*SIN(RADIANS(A134)),-1),1)))</f>
        <v>9.58956286152171</v>
      </c>
      <c r="D134" s="12" t="n">
        <f aca="false">Inputs!$B$8+Inputs!$B$5*COS(RADIANS(A134))</f>
        <v>-0.77953715640807</v>
      </c>
      <c r="E134" s="12" t="n">
        <f aca="false">Inputs!$B$9+Inputs!$B$5*SIN(RADIANS(A134))</f>
        <v>0.865763721681165</v>
      </c>
      <c r="F134" s="12" t="n">
        <f aca="false">-Inputs!$B$6*(1-COS(RADIANS(C134)))</f>
        <v>-0.0726208006997784</v>
      </c>
      <c r="G134" s="12" t="n">
        <f aca="false">C134*Inputs!$B$7</f>
        <v>9.58956286152171</v>
      </c>
      <c r="H134" s="12" t="n">
        <f aca="false">SQRT(D134^2+E134^2)</f>
        <v>1.165</v>
      </c>
    </row>
    <row r="135" customFormat="false" ht="15" hidden="false" customHeight="false" outlineLevel="0" collapsed="false">
      <c r="A135" s="12" t="n">
        <f aca="false">133*Inputs!$B$10*Inputs!$B$7</f>
        <v>133</v>
      </c>
      <c r="B135" s="12" t="n">
        <f aca="false">133*Inputs!$B$10</f>
        <v>133</v>
      </c>
      <c r="C135" s="12" t="n">
        <f aca="false">DEGREES(ASIN(MIN(MAX(Inputs!$B$5/Inputs!$B$6*SIN(RADIANS(A135)),-1),1)))</f>
        <v>9.4360075980175</v>
      </c>
      <c r="D135" s="12" t="n">
        <f aca="false">Inputs!$B$8+Inputs!$B$5*COS(RADIANS(A135))</f>
        <v>-0.794528089472811</v>
      </c>
      <c r="E135" s="12" t="n">
        <f aca="false">Inputs!$B$9+Inputs!$B$5*SIN(RADIANS(A135))</f>
        <v>0.852027062386334</v>
      </c>
      <c r="F135" s="12" t="n">
        <f aca="false">-Inputs!$B$6*(1-COS(RADIANS(C135)))</f>
        <v>-0.0703189210795145</v>
      </c>
      <c r="G135" s="12" t="n">
        <f aca="false">C135*Inputs!$B$7</f>
        <v>9.4360075980175</v>
      </c>
      <c r="H135" s="12" t="n">
        <f aca="false">SQRT(D135^2+E135^2)</f>
        <v>1.165</v>
      </c>
    </row>
    <row r="136" customFormat="false" ht="15" hidden="false" customHeight="false" outlineLevel="0" collapsed="false">
      <c r="A136" s="12" t="n">
        <f aca="false">134*Inputs!$B$10*Inputs!$B$7</f>
        <v>134</v>
      </c>
      <c r="B136" s="12" t="n">
        <f aca="false">134*Inputs!$B$10</f>
        <v>134</v>
      </c>
      <c r="C136" s="12" t="n">
        <f aca="false">DEGREES(ASIN(MIN(MAX(Inputs!$B$5/Inputs!$B$6*SIN(RADIANS(A136)),-1),1)))</f>
        <v>9.27962142104417</v>
      </c>
      <c r="D136" s="12" t="n">
        <f aca="false">Inputs!$B$8+Inputs!$B$5*COS(RADIANS(A136))</f>
        <v>-0.809277001584732</v>
      </c>
      <c r="E136" s="12" t="n">
        <f aca="false">Inputs!$B$9+Inputs!$B$5*SIN(RADIANS(A136))</f>
        <v>0.838030867394529</v>
      </c>
      <c r="F136" s="12" t="n">
        <f aca="false">-Inputs!$B$6*(1-COS(RADIANS(C136)))</f>
        <v>-0.0680124522188619</v>
      </c>
      <c r="G136" s="12" t="n">
        <f aca="false">C136*Inputs!$B$7</f>
        <v>9.27962142104417</v>
      </c>
      <c r="H136" s="12" t="n">
        <f aca="false">SQRT(D136^2+E136^2)</f>
        <v>1.165</v>
      </c>
    </row>
    <row r="137" customFormat="false" ht="15" hidden="false" customHeight="false" outlineLevel="0" collapsed="false">
      <c r="A137" s="12" t="n">
        <f aca="false">135*Inputs!$B$10*Inputs!$B$7</f>
        <v>135</v>
      </c>
      <c r="B137" s="12" t="n">
        <f aca="false">135*Inputs!$B$10</f>
        <v>135</v>
      </c>
      <c r="C137" s="12" t="n">
        <f aca="false">DEGREES(ASIN(MIN(MAX(Inputs!$B$5/Inputs!$B$6*SIN(RADIANS(A137)),-1),1)))</f>
        <v>9.12045458778378</v>
      </c>
      <c r="D137" s="12" t="n">
        <f aca="false">Inputs!$B$8+Inputs!$B$5*COS(RADIANS(A137))</f>
        <v>-0.823779400082328</v>
      </c>
      <c r="E137" s="12" t="n">
        <f aca="false">Inputs!$B$9+Inputs!$B$5*SIN(RADIANS(A137))</f>
        <v>0.823779400082328</v>
      </c>
      <c r="F137" s="12" t="n">
        <f aca="false">-Inputs!$B$6*(1-COS(RADIANS(C137)))</f>
        <v>-0.065704208486905</v>
      </c>
      <c r="G137" s="12" t="n">
        <f aca="false">C137*Inputs!$B$7</f>
        <v>9.12045458778378</v>
      </c>
      <c r="H137" s="12" t="n">
        <f aca="false">SQRT(D137^2+E137^2)</f>
        <v>1.165</v>
      </c>
    </row>
    <row r="138" customFormat="false" ht="15" hidden="false" customHeight="false" outlineLevel="0" collapsed="false">
      <c r="A138" s="12" t="n">
        <f aca="false">136*Inputs!$B$10*Inputs!$B$7</f>
        <v>136</v>
      </c>
      <c r="B138" s="12" t="n">
        <f aca="false">136*Inputs!$B$10</f>
        <v>136</v>
      </c>
      <c r="C138" s="12" t="n">
        <f aca="false">DEGREES(ASIN(MIN(MAX(Inputs!$B$5/Inputs!$B$6*SIN(RADIANS(A138)),-1),1)))</f>
        <v>8.95855807210191</v>
      </c>
      <c r="D138" s="12" t="n">
        <f aca="false">Inputs!$B$8+Inputs!$B$5*COS(RADIANS(A138))</f>
        <v>-0.838030867394528</v>
      </c>
      <c r="E138" s="12" t="n">
        <f aca="false">Inputs!$B$9+Inputs!$B$5*SIN(RADIANS(A138))</f>
        <v>0.809277001584732</v>
      </c>
      <c r="F138" s="12" t="n">
        <f aca="false">-Inputs!$B$6*(1-COS(RADIANS(C138)))</f>
        <v>-0.0633970026202821</v>
      </c>
      <c r="G138" s="12" t="n">
        <f aca="false">C138*Inputs!$B$7</f>
        <v>8.95855807210191</v>
      </c>
      <c r="H138" s="12" t="n">
        <f aca="false">SQRT(D138^2+E138^2)</f>
        <v>1.165</v>
      </c>
    </row>
    <row r="139" customFormat="false" ht="15" hidden="false" customHeight="false" outlineLevel="0" collapsed="false">
      <c r="A139" s="12" t="n">
        <f aca="false">137*Inputs!$B$10*Inputs!$B$7</f>
        <v>137</v>
      </c>
      <c r="B139" s="12" t="n">
        <f aca="false">137*Inputs!$B$10</f>
        <v>137</v>
      </c>
      <c r="C139" s="12" t="n">
        <f aca="false">DEGREES(ASIN(MIN(MAX(Inputs!$B$5/Inputs!$B$6*SIN(RADIANS(A139)),-1),1)))</f>
        <v>8.79398354255097</v>
      </c>
      <c r="D139" s="12" t="n">
        <f aca="false">Inputs!$B$8+Inputs!$B$5*COS(RADIANS(A139))</f>
        <v>-0.852027062386334</v>
      </c>
      <c r="E139" s="12" t="n">
        <f aca="false">Inputs!$B$9+Inputs!$B$5*SIN(RADIANS(A139))</f>
        <v>0.794528089472811</v>
      </c>
      <c r="F139" s="12" t="n">
        <f aca="false">-Inputs!$B$6*(1-COS(RADIANS(C139)))</f>
        <v>-0.0610936423023944</v>
      </c>
      <c r="G139" s="12" t="n">
        <f aca="false">C139*Inputs!$B$7</f>
        <v>8.79398354255097</v>
      </c>
      <c r="H139" s="12" t="n">
        <f aca="false">SQRT(D139^2+E139^2)</f>
        <v>1.165</v>
      </c>
    </row>
    <row r="140" customFormat="false" ht="15" hidden="false" customHeight="false" outlineLevel="0" collapsed="false">
      <c r="A140" s="12" t="n">
        <f aca="false">138*Inputs!$B$10*Inputs!$B$7</f>
        <v>138</v>
      </c>
      <c r="B140" s="12" t="n">
        <f aca="false">138*Inputs!$B$10</f>
        <v>138</v>
      </c>
      <c r="C140" s="12" t="n">
        <f aca="false">DEGREES(ASIN(MIN(MAX(Inputs!$B$5/Inputs!$B$6*SIN(RADIANS(A140)),-1),1)))</f>
        <v>8.62678334056514</v>
      </c>
      <c r="D140" s="12" t="n">
        <f aca="false">Inputs!$B$8+Inputs!$B$5*COS(RADIANS(A140))</f>
        <v>-0.865763721681164</v>
      </c>
      <c r="E140" s="12" t="n">
        <f aca="false">Inputs!$B$9+Inputs!$B$5*SIN(RADIANS(A140))</f>
        <v>0.77953715640807</v>
      </c>
      <c r="F140" s="12" t="n">
        <f aca="false">-Inputs!$B$6*(1-COS(RADIANS(C140)))</f>
        <v>-0.0587969267671778</v>
      </c>
      <c r="G140" s="12" t="n">
        <f aca="false">C140*Inputs!$B$7</f>
        <v>8.62678334056514</v>
      </c>
      <c r="H140" s="12" t="n">
        <f aca="false">SQRT(D140^2+E140^2)</f>
        <v>1.165</v>
      </c>
    </row>
    <row r="141" customFormat="false" ht="15" hidden="false" customHeight="false" outlineLevel="0" collapsed="false">
      <c r="A141" s="12" t="n">
        <f aca="false">139*Inputs!$B$10*Inputs!$B$7</f>
        <v>139</v>
      </c>
      <c r="B141" s="12" t="n">
        <f aca="false">139*Inputs!$B$10</f>
        <v>139</v>
      </c>
      <c r="C141" s="12" t="n">
        <f aca="false">DEGREES(ASIN(MIN(MAX(Inputs!$B$5/Inputs!$B$6*SIN(RADIANS(A141)),-1),1)))</f>
        <v>8.45701045886715</v>
      </c>
      <c r="D141" s="12" t="n">
        <f aca="false">Inputs!$B$8+Inputs!$B$5*COS(RADIANS(A141))</f>
        <v>-0.87923666095953</v>
      </c>
      <c r="E141" s="12" t="n">
        <f aca="false">Inputs!$B$9+Inputs!$B$5*SIN(RADIANS(A141))</f>
        <v>0.764308768773941</v>
      </c>
      <c r="F141" s="12" t="n">
        <f aca="false">-Inputs!$B$6*(1-COS(RADIANS(C141)))</f>
        <v>-0.0565096434313526</v>
      </c>
      <c r="G141" s="12" t="n">
        <f aca="false">C141*Inputs!$B$7</f>
        <v>8.45701045886715</v>
      </c>
      <c r="H141" s="12" t="n">
        <f aca="false">SQRT(D141^2+E141^2)</f>
        <v>1.165</v>
      </c>
    </row>
    <row r="142" customFormat="false" ht="15" hidden="false" customHeight="false" outlineLevel="0" collapsed="false">
      <c r="A142" s="12" t="n">
        <f aca="false">140*Inputs!$B$10*Inputs!$B$7</f>
        <v>140</v>
      </c>
      <c r="B142" s="12" t="n">
        <f aca="false">140*Inputs!$B$10</f>
        <v>140</v>
      </c>
      <c r="C142" s="12" t="n">
        <f aca="false">DEGREES(ASIN(MIN(MAX(Inputs!$B$5/Inputs!$B$6*SIN(RADIANS(A142)),-1),1)))</f>
        <v>8.28471852010586</v>
      </c>
      <c r="D142" s="12" t="n">
        <f aca="false">Inputs!$B$8+Inputs!$B$5*COS(RADIANS(A142))</f>
        <v>-0.892441776233609</v>
      </c>
      <c r="E142" s="12" t="n">
        <f aca="false">Inputs!$B$9+Inputs!$B$5*SIN(RADIANS(A142))</f>
        <v>0.748847565284819</v>
      </c>
      <c r="F142" s="12" t="n">
        <f aca="false">-Inputs!$B$6*(1-COS(RADIANS(C142)))</f>
        <v>-0.054234564558967</v>
      </c>
      <c r="G142" s="12" t="n">
        <f aca="false">C142*Inputs!$B$7</f>
        <v>8.28471852010586</v>
      </c>
      <c r="H142" s="12" t="n">
        <f aca="false">SQRT(D142^2+E142^2)</f>
        <v>1.165</v>
      </c>
    </row>
    <row r="143" customFormat="false" ht="15" hidden="false" customHeight="false" outlineLevel="0" collapsed="false">
      <c r="A143" s="12" t="n">
        <f aca="false">141*Inputs!$B$10*Inputs!$B$7</f>
        <v>141</v>
      </c>
      <c r="B143" s="12" t="n">
        <f aca="false">141*Inputs!$B$10</f>
        <v>141</v>
      </c>
      <c r="C143" s="12" t="n">
        <f aca="false">DEGREES(ASIN(MIN(MAX(Inputs!$B$5/Inputs!$B$6*SIN(RADIANS(A143)),-1),1)))</f>
        <v>8.109961755742</v>
      </c>
      <c r="D143" s="12" t="n">
        <f aca="false">Inputs!$B$8+Inputs!$B$5*COS(RADIANS(A143))</f>
        <v>-0.905375045097371</v>
      </c>
      <c r="E143" s="12" t="n">
        <f aca="false">Inputs!$B$9+Inputs!$B$5*SIN(RADIANS(A143))</f>
        <v>0.733158255573061</v>
      </c>
      <c r="F143" s="12" t="n">
        <f aca="false">-Inputs!$B$6*(1-COS(RADIANS(C143)))</f>
        <v>-0.051974443961909</v>
      </c>
      <c r="G143" s="12" t="n">
        <f aca="false">C143*Inputs!$B$7</f>
        <v>8.109961755742</v>
      </c>
      <c r="H143" s="12" t="n">
        <f aca="false">SQRT(D143^2+E143^2)</f>
        <v>1.165</v>
      </c>
    </row>
    <row r="144" customFormat="false" ht="15" hidden="false" customHeight="false" outlineLevel="0" collapsed="false">
      <c r="A144" s="12" t="n">
        <f aca="false">142*Inputs!$B$10*Inputs!$B$7</f>
        <v>142</v>
      </c>
      <c r="B144" s="12" t="n">
        <f aca="false">142*Inputs!$B$10</f>
        <v>142</v>
      </c>
      <c r="C144" s="12" t="n">
        <f aca="false">DEGREES(ASIN(MIN(MAX(Inputs!$B$5/Inputs!$B$6*SIN(RADIANS(A144)),-1),1)))</f>
        <v>7.93279498519819</v>
      </c>
      <c r="D144" s="12" t="n">
        <f aca="false">Inputs!$B$8+Inputs!$B$5*COS(RADIANS(A144))</f>
        <v>-0.918032527951831</v>
      </c>
      <c r="E144" s="12" t="n">
        <f aca="false">Inputs!$B$9+Inputs!$B$5*SIN(RADIANS(A144))</f>
        <v>0.717245618754392</v>
      </c>
      <c r="F144" s="12" t="n">
        <f aca="false">-Inputs!$B$6*(1-COS(RADIANS(C144)))</f>
        <v>-0.049732013739946</v>
      </c>
      <c r="G144" s="12" t="n">
        <f aca="false">C144*Inputs!$B$7</f>
        <v>7.93279498519819</v>
      </c>
      <c r="H144" s="12" t="n">
        <f aca="false">SQRT(D144^2+E144^2)</f>
        <v>1.165</v>
      </c>
    </row>
    <row r="145" customFormat="false" ht="15" hidden="false" customHeight="false" outlineLevel="0" collapsed="false">
      <c r="A145" s="12" t="n">
        <f aca="false">143*Inputs!$B$10*Inputs!$B$7</f>
        <v>143</v>
      </c>
      <c r="B145" s="12" t="n">
        <f aca="false">143*Inputs!$B$10</f>
        <v>143</v>
      </c>
      <c r="C145" s="12" t="n">
        <f aca="false">DEGREES(ASIN(MIN(MAX(Inputs!$B$5/Inputs!$B$6*SIN(RADIANS(A145)),-1),1)))</f>
        <v>7.7532735952878</v>
      </c>
      <c r="D145" s="12" t="n">
        <f aca="false">Inputs!$B$8+Inputs!$B$5*COS(RADIANS(A145))</f>
        <v>-0.930410369205096</v>
      </c>
      <c r="E145" s="12" t="n">
        <f aca="false">Inputs!$B$9+Inputs!$B$5*SIN(RADIANS(A145))</f>
        <v>0.701114501972137</v>
      </c>
      <c r="F145" s="12" t="n">
        <f aca="false">-Inputs!$B$6*(1-COS(RADIANS(C145)))</f>
        <v>-0.0475099810637207</v>
      </c>
      <c r="G145" s="12" t="n">
        <f aca="false">C145*Inputs!$B$7</f>
        <v>7.7532735952878</v>
      </c>
      <c r="H145" s="12" t="n">
        <f aca="false">SQRT(D145^2+E145^2)</f>
        <v>1.165</v>
      </c>
    </row>
    <row r="146" customFormat="false" ht="15" hidden="false" customHeight="false" outlineLevel="0" collapsed="false">
      <c r="A146" s="12" t="n">
        <f aca="false">144*Inputs!$B$10*Inputs!$B$7</f>
        <v>144</v>
      </c>
      <c r="B146" s="12" t="n">
        <f aca="false">144*Inputs!$B$10</f>
        <v>144</v>
      </c>
      <c r="C146" s="12" t="n">
        <f aca="false">DEGREES(ASIN(MIN(MAX(Inputs!$B$5/Inputs!$B$6*SIN(RADIANS(A146)),-1),1)))</f>
        <v>7.57145351993605</v>
      </c>
      <c r="D146" s="12" t="n">
        <f aca="false">Inputs!$B$8+Inputs!$B$5*COS(RADIANS(A146))</f>
        <v>-0.942504798446814</v>
      </c>
      <c r="E146" s="12" t="n">
        <f aca="false">Inputs!$B$9+Inputs!$B$5*SIN(RADIANS(A146))</f>
        <v>0.684769818920731</v>
      </c>
      <c r="F146" s="12" t="n">
        <f aca="false">-Inputs!$B$6*(1-COS(RADIANS(C146)))</f>
        <v>-0.0453110250040064</v>
      </c>
      <c r="G146" s="12" t="n">
        <f aca="false">C146*Inputs!$B$7</f>
        <v>7.57145351993605</v>
      </c>
      <c r="H146" s="12" t="n">
        <f aca="false">SQRT(D146^2+E146^2)</f>
        <v>1.165</v>
      </c>
    </row>
    <row r="147" customFormat="false" ht="15" hidden="false" customHeight="false" outlineLevel="0" collapsed="false">
      <c r="A147" s="12" t="n">
        <f aca="false">145*Inputs!$B$10*Inputs!$B$7</f>
        <v>145</v>
      </c>
      <c r="B147" s="12" t="n">
        <f aca="false">145*Inputs!$B$10</f>
        <v>145</v>
      </c>
      <c r="C147" s="12" t="n">
        <f aca="false">DEGREES(ASIN(MIN(MAX(Inputs!$B$5/Inputs!$B$6*SIN(RADIANS(A147)),-1),1)))</f>
        <v>7.38739122020505</v>
      </c>
      <c r="D147" s="12" t="n">
        <f aca="false">Inputs!$B$8+Inputs!$B$5*COS(RADIANS(A147))</f>
        <v>-0.954312131596676</v>
      </c>
      <c r="E147" s="12" t="n">
        <f aca="false">Inputs!$B$9+Inputs!$B$5*SIN(RADIANS(A147))</f>
        <v>0.668216548348969</v>
      </c>
      <c r="F147" s="12" t="n">
        <f aca="false">-Inputs!$B$6*(1-COS(RADIANS(C147)))</f>
        <v>-0.0431377934104029</v>
      </c>
      <c r="G147" s="12" t="n">
        <f aca="false">C147*Inputs!$B$7</f>
        <v>7.38739122020505</v>
      </c>
      <c r="H147" s="12" t="n">
        <f aca="false">SQRT(D147^2+E147^2)</f>
        <v>1.165</v>
      </c>
    </row>
    <row r="148" customFormat="false" ht="15" hidden="false" customHeight="false" outlineLevel="0" collapsed="false">
      <c r="A148" s="12" t="n">
        <f aca="false">146*Inputs!$B$10*Inputs!$B$7</f>
        <v>146</v>
      </c>
      <c r="B148" s="12" t="n">
        <f aca="false">146*Inputs!$B$10</f>
        <v>146</v>
      </c>
      <c r="C148" s="12" t="n">
        <f aca="false">DEGREES(ASIN(MIN(MAX(Inputs!$B$5/Inputs!$B$6*SIN(RADIANS(A148)),-1),1)))</f>
        <v>7.20114366463325</v>
      </c>
      <c r="D148" s="12" t="n">
        <f aca="false">Inputs!$B$8+Inputs!$B$5*COS(RADIANS(A148))</f>
        <v>-0.965828772026624</v>
      </c>
      <c r="E148" s="12" t="n">
        <f aca="false">Inputs!$B$9+Inputs!$B$5*SIN(RADIANS(A148))</f>
        <v>0.65145973254342</v>
      </c>
      <c r="F148" s="12" t="n">
        <f aca="false">-Inputs!$B$6*(1-COS(RADIANS(C148)))</f>
        <v>-0.0409928998425095</v>
      </c>
      <c r="G148" s="12" t="n">
        <f aca="false">C148*Inputs!$B$7</f>
        <v>7.20114366463325</v>
      </c>
      <c r="H148" s="12" t="n">
        <f aca="false">SQRT(D148^2+E148^2)</f>
        <v>1.165</v>
      </c>
    </row>
    <row r="149" customFormat="false" ht="15" hidden="false" customHeight="false" outlineLevel="0" collapsed="false">
      <c r="A149" s="12" t="n">
        <f aca="false">147*Inputs!$B$10*Inputs!$B$7</f>
        <v>147</v>
      </c>
      <c r="B149" s="12" t="n">
        <f aca="false">147*Inputs!$B$10</f>
        <v>147</v>
      </c>
      <c r="C149" s="12" t="n">
        <f aca="false">DEGREES(ASIN(MIN(MAX(Inputs!$B$5/Inputs!$B$6*SIN(RADIANS(A149)),-1),1)))</f>
        <v>7.01276830989849</v>
      </c>
      <c r="D149" s="12" t="n">
        <f aca="false">Inputs!$B$8+Inputs!$B$5*COS(RADIANS(A149))</f>
        <v>-0.977051211656419</v>
      </c>
      <c r="E149" s="12" t="n">
        <f aca="false">Inputs!$B$9+Inputs!$B$5*SIN(RADIANS(A149))</f>
        <v>0.634504475792507</v>
      </c>
      <c r="F149" s="12" t="n">
        <f aca="false">-Inputs!$B$6*(1-COS(RADIANS(C149)))</f>
        <v>-0.0388789205565098</v>
      </c>
      <c r="G149" s="12" t="n">
        <f aca="false">C149*Inputs!$B$7</f>
        <v>7.01276830989849</v>
      </c>
      <c r="H149" s="12" t="n">
        <f aca="false">SQRT(D149^2+E149^2)</f>
        <v>1.165</v>
      </c>
    </row>
    <row r="150" customFormat="false" ht="15" hidden="false" customHeight="false" outlineLevel="0" collapsed="false">
      <c r="A150" s="12" t="n">
        <f aca="false">148*Inputs!$B$10*Inputs!$B$7</f>
        <v>148</v>
      </c>
      <c r="B150" s="12" t="n">
        <f aca="false">148*Inputs!$B$10</f>
        <v>148</v>
      </c>
      <c r="C150" s="12" t="n">
        <f aca="false">DEGREES(ASIN(MIN(MAX(Inputs!$B$5/Inputs!$B$6*SIN(RADIANS(A150)),-1),1)))</f>
        <v>6.82232308181218</v>
      </c>
      <c r="D150" s="12" t="n">
        <f aca="false">Inputs!$B$8+Inputs!$B$5*COS(RADIANS(A150))</f>
        <v>-0.987976032022236</v>
      </c>
      <c r="E150" s="12" t="n">
        <f aca="false">Inputs!$B$9+Inputs!$B$5*SIN(RADIANS(A150))</f>
        <v>0.617355942831684</v>
      </c>
      <c r="F150" s="12" t="n">
        <f aca="false">-Inputs!$B$6*(1-COS(RADIANS(C150)))</f>
        <v>-0.0367983915499578</v>
      </c>
      <c r="G150" s="12" t="n">
        <f aca="false">C150*Inputs!$B$7</f>
        <v>6.82232308181218</v>
      </c>
      <c r="H150" s="12" t="n">
        <f aca="false">SQRT(D150^2+E150^2)</f>
        <v>1.165</v>
      </c>
    </row>
    <row r="151" customFormat="false" ht="15" hidden="false" customHeight="false" outlineLevel="0" collapsed="false">
      <c r="A151" s="12" t="n">
        <f aca="false">149*Inputs!$B$10*Inputs!$B$7</f>
        <v>149</v>
      </c>
      <c r="B151" s="12" t="n">
        <f aca="false">149*Inputs!$B$10</f>
        <v>149</v>
      </c>
      <c r="C151" s="12" t="n">
        <f aca="false">DEGREES(ASIN(MIN(MAX(Inputs!$B$5/Inputs!$B$6*SIN(RADIANS(A151)),-1),1)))</f>
        <v>6.62986635665114</v>
      </c>
      <c r="D151" s="12" t="n">
        <f aca="false">Inputs!$B$8+Inputs!$B$5*COS(RADIANS(A151))</f>
        <v>-0.998599905317961</v>
      </c>
      <c r="E151" s="12" t="n">
        <f aca="false">Inputs!$B$9+Inputs!$B$5*SIN(RADIANS(A151))</f>
        <v>0.600019357270213</v>
      </c>
      <c r="F151" s="12" t="n">
        <f aca="false">-Inputs!$B$6*(1-COS(RADIANS(C151)))</f>
        <v>-0.0347538056674357</v>
      </c>
      <c r="G151" s="12" t="n">
        <f aca="false">C151*Inputs!$B$7</f>
        <v>6.62986635665114</v>
      </c>
      <c r="H151" s="12" t="n">
        <f aca="false">SQRT(D151^2+E151^2)</f>
        <v>1.165</v>
      </c>
    </row>
    <row r="152" customFormat="false" ht="15" hidden="false" customHeight="false" outlineLevel="0" collapsed="false">
      <c r="A152" s="12" t="n">
        <f aca="false">150*Inputs!$B$10*Inputs!$B$7</f>
        <v>150</v>
      </c>
      <c r="B152" s="12" t="n">
        <f aca="false">150*Inputs!$B$10</f>
        <v>150</v>
      </c>
      <c r="C152" s="12" t="n">
        <f aca="false">DEGREES(ASIN(MIN(MAX(Inputs!$B$5/Inputs!$B$6*SIN(RADIANS(A152)),-1),1)))</f>
        <v>6.43545694283194</v>
      </c>
      <c r="D152" s="12" t="n">
        <f aca="false">Inputs!$B$8+Inputs!$B$5*COS(RADIANS(A152))</f>
        <v>-1.00891959540887</v>
      </c>
      <c r="E152" s="12" t="n">
        <f aca="false">Inputs!$B$9+Inputs!$B$5*SIN(RADIANS(A152))</f>
        <v>0.5825</v>
      </c>
      <c r="F152" s="12" t="n">
        <f aca="false">-Inputs!$B$6*(1-COS(RADIANS(C152)))</f>
        <v>-0.0327476097696386</v>
      </c>
      <c r="G152" s="12" t="n">
        <f aca="false">C152*Inputs!$B$7</f>
        <v>6.43545694283194</v>
      </c>
      <c r="H152" s="12" t="n">
        <f aca="false">SQRT(D152^2+E152^2)</f>
        <v>1.165</v>
      </c>
    </row>
    <row r="153" customFormat="false" ht="15" hidden="false" customHeight="false" outlineLevel="0" collapsed="false">
      <c r="A153" s="12" t="n">
        <f aca="false">151*Inputs!$B$10*Inputs!$B$7</f>
        <v>151</v>
      </c>
      <c r="B153" s="12" t="n">
        <f aca="false">151*Inputs!$B$10</f>
        <v>151</v>
      </c>
      <c r="C153" s="12" t="n">
        <f aca="false">DEGREES(ASIN(MIN(MAX(Inputs!$B$5/Inputs!$B$6*SIN(RADIANS(A153)),-1),1)))</f>
        <v>6.23915406293178</v>
      </c>
      <c r="D153" s="12" t="n">
        <f aca="false">Inputs!$B$8+Inputs!$B$5*COS(RADIANS(A153))</f>
        <v>-1.0189319588174</v>
      </c>
      <c r="E153" s="12" t="n">
        <f aca="false">Inputs!$B$9+Inputs!$B$5*SIN(RADIANS(A153))</f>
        <v>0.564803207586983</v>
      </c>
      <c r="F153" s="12" t="n">
        <f aca="false">-Inputs!$B$6*(1-COS(RADIANS(C153)))</f>
        <v>-0.0307822019683051</v>
      </c>
      <c r="G153" s="12" t="n">
        <f aca="false">C153*Inputs!$B$7</f>
        <v>6.23915406293178</v>
      </c>
      <c r="H153" s="12" t="n">
        <f aca="false">SQRT(D153^2+E153^2)</f>
        <v>1.165</v>
      </c>
    </row>
    <row r="154" customFormat="false" ht="15" hidden="false" customHeight="false" outlineLevel="0" collapsed="false">
      <c r="A154" s="12" t="n">
        <f aca="false">152*Inputs!$B$10*Inputs!$B$7</f>
        <v>152</v>
      </c>
      <c r="B154" s="12" t="n">
        <f aca="false">152*Inputs!$B$10</f>
        <v>152</v>
      </c>
      <c r="C154" s="12" t="n">
        <f aca="false">DEGREES(ASIN(MIN(MAX(Inputs!$B$5/Inputs!$B$6*SIN(RADIANS(A154)),-1),1)))</f>
        <v>6.04101733605791</v>
      </c>
      <c r="D154" s="12" t="n">
        <f aca="false">Inputs!$B$8+Inputs!$B$5*COS(RADIANS(A154))</f>
        <v>-1.02863394568065</v>
      </c>
      <c r="E154" s="12" t="n">
        <f aca="false">Inputs!$B$9+Inputs!$B$5*SIN(RADIANS(A154))</f>
        <v>0.546934370645563</v>
      </c>
      <c r="F154" s="12" t="n">
        <f aca="false">-Inputs!$B$6*(1-COS(RADIANS(C154)))</f>
        <v>-0.0288599289293111</v>
      </c>
      <c r="G154" s="12" t="n">
        <f aca="false">C154*Inputs!$B$7</f>
        <v>6.04101733605791</v>
      </c>
      <c r="H154" s="12" t="n">
        <f aca="false">SQRT(D154^2+E154^2)</f>
        <v>1.165</v>
      </c>
    </row>
    <row r="155" customFormat="false" ht="15" hidden="false" customHeight="false" outlineLevel="0" collapsed="false">
      <c r="A155" s="12" t="n">
        <f aca="false">153*Inputs!$B$10*Inputs!$B$7</f>
        <v>153</v>
      </c>
      <c r="B155" s="12" t="n">
        <f aca="false">153*Inputs!$B$10</f>
        <v>153</v>
      </c>
      <c r="C155" s="12" t="n">
        <f aca="false">DEGREES(ASIN(MIN(MAX(Inputs!$B$5/Inputs!$B$6*SIN(RADIANS(A155)),-1),1)))</f>
        <v>5.84110676056738</v>
      </c>
      <c r="D155" s="12" t="n">
        <f aca="false">Inputs!$B$8+Inputs!$B$5*COS(RADIANS(A155))</f>
        <v>-1.03802260067945</v>
      </c>
      <c r="E155" s="12" t="n">
        <f aca="false">Inputs!$B$9+Inputs!$B$5*SIN(RADIANS(A155))</f>
        <v>0.528898932196572</v>
      </c>
      <c r="F155" s="12" t="n">
        <f aca="false">-Inputs!$B$6*(1-COS(RADIANS(C155)))</f>
        <v>-0.026983083246117</v>
      </c>
      <c r="G155" s="12" t="n">
        <f aca="false">C155*Inputs!$B$7</f>
        <v>5.84110676056738</v>
      </c>
      <c r="H155" s="12" t="n">
        <f aca="false">SQRT(D155^2+E155^2)</f>
        <v>1.165</v>
      </c>
    </row>
    <row r="156" customFormat="false" ht="15" hidden="false" customHeight="false" outlineLevel="0" collapsed="false">
      <c r="A156" s="12" t="n">
        <f aca="false">154*Inputs!$B$10*Inputs!$B$7</f>
        <v>154</v>
      </c>
      <c r="B156" s="12" t="n">
        <f aca="false">154*Inputs!$B$10</f>
        <v>154</v>
      </c>
      <c r="C156" s="12" t="n">
        <f aca="false">DEGREES(ASIN(MIN(MAX(Inputs!$B$5/Inputs!$B$6*SIN(RADIANS(A156)),-1),1)))</f>
        <v>5.6394826971366</v>
      </c>
      <c r="D156" s="12" t="n">
        <f aca="false">Inputs!$B$8+Inputs!$B$5*COS(RADIANS(A156))</f>
        <v>-1.04709506393853</v>
      </c>
      <c r="E156" s="12" t="n">
        <f aca="false">Inputs!$B$9+Inputs!$B$5*SIN(RADIANS(A156))</f>
        <v>0.510702386009276</v>
      </c>
      <c r="F156" s="12" t="n">
        <f aca="false">-Inputs!$B$6*(1-COS(RADIANS(C156)))</f>
        <v>-0.0251539008856387</v>
      </c>
      <c r="G156" s="12" t="n">
        <f aca="false">C156*Inputs!$B$7</f>
        <v>5.6394826971366</v>
      </c>
      <c r="H156" s="12" t="n">
        <f aca="false">SQRT(D156^2+E156^2)</f>
        <v>1.165</v>
      </c>
    </row>
    <row r="157" customFormat="false" ht="15" hidden="false" customHeight="false" outlineLevel="0" collapsed="false">
      <c r="A157" s="12" t="n">
        <f aca="false">155*Inputs!$B$10*Inputs!$B$7</f>
        <v>155</v>
      </c>
      <c r="B157" s="12" t="n">
        <f aca="false">155*Inputs!$B$10</f>
        <v>155</v>
      </c>
      <c r="C157" s="12" t="n">
        <f aca="false">DEGREES(ASIN(MIN(MAX(Inputs!$B$5/Inputs!$B$6*SIN(RADIANS(A157)),-1),1)))</f>
        <v>5.43620585217989</v>
      </c>
      <c r="D157" s="12" t="n">
        <f aca="false">Inputs!$B$8+Inputs!$B$5*COS(RADIANS(A157))</f>
        <v>-1.0558485718977</v>
      </c>
      <c r="E157" s="12" t="n">
        <f aca="false">Inputs!$B$9+Inputs!$B$5*SIN(RADIANS(A157))</f>
        <v>0.492350274927915</v>
      </c>
      <c r="F157" s="12" t="n">
        <f aca="false">-Inputs!$B$6*(1-COS(RADIANS(C157)))</f>
        <v>-0.0233745587085255</v>
      </c>
      <c r="G157" s="12" t="n">
        <f aca="false">C157*Inputs!$B$7</f>
        <v>5.43620585217989</v>
      </c>
      <c r="H157" s="12" t="n">
        <f aca="false">SQRT(D157^2+E157^2)</f>
        <v>1.165</v>
      </c>
    </row>
    <row r="158" customFormat="false" ht="15" hidden="false" customHeight="false" outlineLevel="0" collapsed="false">
      <c r="A158" s="12" t="n">
        <f aca="false">156*Inputs!$B$10*Inputs!$B$7</f>
        <v>156</v>
      </c>
      <c r="B158" s="12" t="n">
        <f aca="false">156*Inputs!$B$10</f>
        <v>156</v>
      </c>
      <c r="C158" s="12" t="n">
        <f aca="false">DEGREES(ASIN(MIN(MAX(Inputs!$B$5/Inputs!$B$6*SIN(RADIANS(A158)),-1),1)))</f>
        <v>5.23133726161461</v>
      </c>
      <c r="D158" s="12" t="n">
        <f aca="false">Inputs!$B$8+Inputs!$B$5*COS(RADIANS(A158))</f>
        <v>-1.06428045815363</v>
      </c>
      <c r="E158" s="12" t="n">
        <f aca="false">Inputs!$B$9+Inputs!$B$5*SIN(RADIANS(A158))</f>
        <v>0.473848189183307</v>
      </c>
      <c r="F158" s="12" t="n">
        <f aca="false">-Inputs!$B$6*(1-COS(RADIANS(C158)))</f>
        <v>-0.021647172065686</v>
      </c>
      <c r="G158" s="12" t="n">
        <f aca="false">C158*Inputs!$B$7</f>
        <v>5.23133726161461</v>
      </c>
      <c r="H158" s="12" t="n">
        <f aca="false">SQRT(D158^2+E158^2)</f>
        <v>1.165</v>
      </c>
    </row>
    <row r="159" customFormat="false" ht="15" hidden="false" customHeight="false" outlineLevel="0" collapsed="false">
      <c r="A159" s="12" t="n">
        <f aca="false">157*Inputs!$B$10*Inputs!$B$7</f>
        <v>157</v>
      </c>
      <c r="B159" s="12" t="n">
        <f aca="false">157*Inputs!$B$10</f>
        <v>157</v>
      </c>
      <c r="C159" s="12" t="n">
        <f aca="false">DEGREES(ASIN(MIN(MAX(Inputs!$B$5/Inputs!$B$6*SIN(RADIANS(A159)),-1),1)))</f>
        <v>5.02493827496937</v>
      </c>
      <c r="D159" s="12" t="n">
        <f aca="false">Inputs!$B$8+Inputs!$B$5*COS(RADIANS(A159))</f>
        <v>-1.07238815427209</v>
      </c>
      <c r="E159" s="12" t="n">
        <f aca="false">Inputs!$B$9+Inputs!$B$5*SIN(RADIANS(A159))</f>
        <v>0.455201764690004</v>
      </c>
      <c r="F159" s="12" t="n">
        <f aca="false">-Inputs!$B$6*(1-COS(RADIANS(C159)))</f>
        <v>-0.0199737924728347</v>
      </c>
      <c r="G159" s="12" t="n">
        <f aca="false">C159*Inputs!$B$7</f>
        <v>5.02493827496937</v>
      </c>
      <c r="H159" s="12" t="n">
        <f aca="false">SQRT(D159^2+E159^2)</f>
        <v>1.165</v>
      </c>
    </row>
    <row r="160" customFormat="false" ht="15" hidden="false" customHeight="false" outlineLevel="0" collapsed="false">
      <c r="A160" s="12" t="n">
        <f aca="false">158*Inputs!$B$10*Inputs!$B$7</f>
        <v>158</v>
      </c>
      <c r="B160" s="12" t="n">
        <f aca="false">158*Inputs!$B$10</f>
        <v>158</v>
      </c>
      <c r="C160" s="12" t="n">
        <f aca="false">DEGREES(ASIN(MIN(MAX(Inputs!$B$5/Inputs!$B$6*SIN(RADIANS(A160)),-1),1)))</f>
        <v>4.81707053983093</v>
      </c>
      <c r="D160" s="12" t="n">
        <f aca="false">Inputs!$B$8+Inputs!$B$5*COS(RADIANS(A160))</f>
        <v>-1.08016919057031</v>
      </c>
      <c r="E160" s="12" t="n">
        <f aca="false">Inputs!$B$9+Inputs!$B$5*SIN(RADIANS(A160))</f>
        <v>0.436416681329538</v>
      </c>
      <c r="F160" s="12" t="n">
        <f aca="false">-Inputs!$B$6*(1-COS(RADIANS(C160)))</f>
        <v>-0.0183564053646911</v>
      </c>
      <c r="G160" s="12" t="n">
        <f aca="false">C160*Inputs!$B$7</f>
        <v>4.81707053983093</v>
      </c>
      <c r="H160" s="12" t="n">
        <f aca="false">SQRT(D160^2+E160^2)</f>
        <v>1.165</v>
      </c>
    </row>
    <row r="161" customFormat="false" ht="15" hidden="false" customHeight="false" outlineLevel="0" collapsed="false">
      <c r="A161" s="12" t="n">
        <f aca="false">159*Inputs!$B$10*Inputs!$B$7</f>
        <v>159</v>
      </c>
      <c r="B161" s="12" t="n">
        <f aca="false">159*Inputs!$B$10</f>
        <v>159</v>
      </c>
      <c r="C161" s="12" t="n">
        <f aca="false">DEGREES(ASIN(MIN(MAX(Inputs!$B$5/Inputs!$B$6*SIN(RADIANS(A161)),-1),1)))</f>
        <v>4.60779598662431</v>
      </c>
      <c r="D161" s="12" t="n">
        <f aca="false">Inputs!$B$8+Inputs!$B$5*COS(RADIANS(A161))</f>
        <v>-1.08762119686924</v>
      </c>
      <c r="E161" s="12" t="n">
        <f aca="false">Inputs!$B$9+Inputs!$B$5*SIN(RADIANS(A161))</f>
        <v>0.417498661220275</v>
      </c>
      <c r="F161" s="12" t="n">
        <f aca="false">-Inputs!$B$6*(1-COS(RADIANS(C161)))</f>
        <v>-0.0167969279304043</v>
      </c>
      <c r="G161" s="12" t="n">
        <f aca="false">C161*Inputs!$B$7</f>
        <v>4.60779598662431</v>
      </c>
      <c r="H161" s="12" t="n">
        <f aca="false">SQRT(D161^2+E161^2)</f>
        <v>1.165</v>
      </c>
    </row>
    <row r="162" customFormat="false" ht="15" hidden="false" customHeight="false" outlineLevel="0" collapsed="false">
      <c r="A162" s="12" t="n">
        <f aca="false">160*Inputs!$B$10*Inputs!$B$7</f>
        <v>160</v>
      </c>
      <c r="B162" s="12" t="n">
        <f aca="false">160*Inputs!$B$10</f>
        <v>160</v>
      </c>
      <c r="C162" s="12" t="n">
        <f aca="false">DEGREES(ASIN(MIN(MAX(Inputs!$B$5/Inputs!$B$6*SIN(RADIANS(A162)),-1),1)))</f>
        <v>4.3971768137195</v>
      </c>
      <c r="D162" s="12" t="n">
        <f aca="false">Inputs!$B$8+Inputs!$B$5*COS(RADIANS(A162))</f>
        <v>-1.09474190321558</v>
      </c>
      <c r="E162" s="12" t="n">
        <f aca="false">Inputs!$B$9+Inputs!$B$5*SIN(RADIANS(A162))</f>
        <v>0.398453466974404</v>
      </c>
      <c r="F162" s="12" t="n">
        <f aca="false">-Inputs!$B$6*(1-COS(RADIANS(C162)))</f>
        <v>-0.0152972070316422</v>
      </c>
      <c r="G162" s="12" t="n">
        <f aca="false">C162*Inputs!$B$7</f>
        <v>4.3971768137195</v>
      </c>
      <c r="H162" s="12" t="n">
        <f aca="false">SQRT(D162^2+E162^2)</f>
        <v>1.165</v>
      </c>
    </row>
    <row r="163" customFormat="false" ht="15" hidden="false" customHeight="false" outlineLevel="0" collapsed="false">
      <c r="A163" s="12" t="n">
        <f aca="false">161*Inputs!$B$10*Inputs!$B$7</f>
        <v>161</v>
      </c>
      <c r="B163" s="12" t="n">
        <f aca="false">161*Inputs!$B$10</f>
        <v>161</v>
      </c>
      <c r="C163" s="12" t="n">
        <f aca="false">DEGREES(ASIN(MIN(MAX(Inputs!$B$5/Inputs!$B$6*SIN(RADIANS(A163)),-1),1)))</f>
        <v>4.18527547285736</v>
      </c>
      <c r="D163" s="12" t="n">
        <f aca="false">Inputs!$B$8+Inputs!$B$5*COS(RADIANS(A163))</f>
        <v>-1.1015291405732</v>
      </c>
      <c r="E163" s="12" t="n">
        <f aca="false">Inputs!$B$9+Inputs!$B$5*SIN(RADIANS(A163))</f>
        <v>0.379286899942587</v>
      </c>
      <c r="F163" s="12" t="n">
        <f aca="false">-Inputs!$B$6*(1-COS(RADIANS(C163)))</f>
        <v>-0.0138590172047278</v>
      </c>
      <c r="G163" s="12" t="n">
        <f aca="false">C163*Inputs!$B$7</f>
        <v>4.18527547285736</v>
      </c>
      <c r="H163" s="12" t="n">
        <f aca="false">SQRT(D163^2+E163^2)</f>
        <v>1.165</v>
      </c>
    </row>
    <row r="164" customFormat="false" ht="15" hidden="false" customHeight="false" outlineLevel="0" collapsed="false">
      <c r="A164" s="12" t="n">
        <f aca="false">162*Inputs!$B$10*Inputs!$B$7</f>
        <v>162</v>
      </c>
      <c r="B164" s="12" t="n">
        <f aca="false">162*Inputs!$B$10</f>
        <v>162</v>
      </c>
      <c r="C164" s="12" t="n">
        <f aca="false">DEGREES(ASIN(MIN(MAX(Inputs!$B$5/Inputs!$B$6*SIN(RADIANS(A164)),-1),1)))</f>
        <v>3.97215465488642</v>
      </c>
      <c r="D164" s="12" t="n">
        <f aca="false">Inputs!$B$8+Inputs!$B$5*COS(RADIANS(A164))</f>
        <v>-1.10798084148385</v>
      </c>
      <c r="E164" s="12" t="n">
        <f aca="false">Inputs!$B$9+Inputs!$B$5*SIN(RADIANS(A164))</f>
        <v>0.360004798446814</v>
      </c>
      <c r="F164" s="12" t="n">
        <f aca="false">-Inputs!$B$6*(1-COS(RADIANS(C164)))</f>
        <v>-0.0124840587480811</v>
      </c>
      <c r="G164" s="12" t="n">
        <f aca="false">C164*Inputs!$B$7</f>
        <v>3.97215465488642</v>
      </c>
      <c r="H164" s="12" t="n">
        <f aca="false">SQRT(D164^2+E164^2)</f>
        <v>1.165</v>
      </c>
    </row>
    <row r="165" customFormat="false" ht="15" hidden="false" customHeight="false" outlineLevel="0" collapsed="false">
      <c r="A165" s="12" t="n">
        <f aca="false">163*Inputs!$B$10*Inputs!$B$7</f>
        <v>163</v>
      </c>
      <c r="B165" s="12" t="n">
        <f aca="false">163*Inputs!$B$10</f>
        <v>163</v>
      </c>
      <c r="C165" s="12" t="n">
        <f aca="false">DEGREES(ASIN(MIN(MAX(Inputs!$B$5/Inputs!$B$6*SIN(RADIANS(A165)),-1),1)))</f>
        <v>3.75787727580123</v>
      </c>
      <c r="D165" s="12" t="n">
        <f aca="false">Inputs!$B$8+Inputs!$B$5*COS(RADIANS(A165))</f>
        <v>-1.11409504069694</v>
      </c>
      <c r="E165" s="12" t="n">
        <f aca="false">Inputs!$B$9+Inputs!$B$5*SIN(RADIANS(A165))</f>
        <v>0.340613036001989</v>
      </c>
      <c r="F165" s="12" t="n">
        <f aca="false">-Inputs!$B$6*(1-COS(RADIANS(C165)))</f>
        <v>-0.0111739558961769</v>
      </c>
      <c r="G165" s="12" t="n">
        <f aca="false">C165*Inputs!$B$7</f>
        <v>3.75787727580123</v>
      </c>
      <c r="H165" s="12" t="n">
        <f aca="false">SQRT(D165^2+E165^2)</f>
        <v>1.165</v>
      </c>
    </row>
    <row r="166" customFormat="false" ht="15" hidden="false" customHeight="false" outlineLevel="0" collapsed="false">
      <c r="A166" s="12" t="n">
        <f aca="false">164*Inputs!$B$10*Inputs!$B$7</f>
        <v>164</v>
      </c>
      <c r="B166" s="12" t="n">
        <f aca="false">164*Inputs!$B$10</f>
        <v>164</v>
      </c>
      <c r="C166" s="12" t="n">
        <f aca="false">DEGREES(ASIN(MIN(MAX(Inputs!$B$5/Inputs!$B$6*SIN(RADIANS(A166)),-1),1)))</f>
        <v>3.54250646307235</v>
      </c>
      <c r="D166" s="12" t="n">
        <f aca="false">Inputs!$B$8+Inputs!$B$5*COS(RADIANS(A166))</f>
        <v>-1.11986987576814</v>
      </c>
      <c r="E166" s="12" t="n">
        <f aca="false">Inputs!$B$9+Inputs!$B$5*SIN(RADIANS(A166))</f>
        <v>0.321117519526804</v>
      </c>
      <c r="F166" s="12" t="n">
        <f aca="false">-Inputs!$B$6*(1-COS(RADIANS(C166)))</f>
        <v>-0.00993025508110656</v>
      </c>
      <c r="G166" s="12" t="n">
        <f aca="false">C166*Inputs!$B$7</f>
        <v>3.54250646307235</v>
      </c>
      <c r="H166" s="12" t="n">
        <f aca="false">SQRT(D166^2+E166^2)</f>
        <v>1.165</v>
      </c>
    </row>
    <row r="167" customFormat="false" ht="15" hidden="false" customHeight="false" outlineLevel="0" collapsed="false">
      <c r="A167" s="12" t="n">
        <f aca="false">165*Inputs!$B$10*Inputs!$B$7</f>
        <v>165</v>
      </c>
      <c r="B167" s="12" t="n">
        <f aca="false">165*Inputs!$B$10</f>
        <v>165</v>
      </c>
      <c r="C167" s="12" t="n">
        <f aca="false">DEGREES(ASIN(MIN(MAX(Inputs!$B$5/Inputs!$B$6*SIN(RADIANS(A167)),-1),1)))</f>
        <v>3.32610554225705</v>
      </c>
      <c r="D167" s="12" t="n">
        <f aca="false">Inputs!$B$8+Inputs!$B$5*COS(RADIANS(A167))</f>
        <v>-1.12530358762676</v>
      </c>
      <c r="E167" s="12" t="n">
        <f aca="false">Inputs!$B$9+Inputs!$B$5*SIN(RADIANS(A167))</f>
        <v>0.301524187544437</v>
      </c>
      <c r="F167" s="12" t="n">
        <f aca="false">-Inputs!$B$6*(1-COS(RADIANS(C167)))</f>
        <v>-0.00875442328279286</v>
      </c>
      <c r="G167" s="12" t="n">
        <f aca="false">C167*Inputs!$B$7</f>
        <v>3.32610554225705</v>
      </c>
      <c r="H167" s="12" t="n">
        <f aca="false">SQRT(D167^2+E167^2)</f>
        <v>1.165</v>
      </c>
    </row>
    <row r="168" customFormat="false" ht="15" hidden="false" customHeight="false" outlineLevel="0" collapsed="false">
      <c r="A168" s="12" t="n">
        <f aca="false">166*Inputs!$B$10*Inputs!$B$7</f>
        <v>166</v>
      </c>
      <c r="B168" s="12" t="n">
        <f aca="false">166*Inputs!$B$10</f>
        <v>166</v>
      </c>
      <c r="C168" s="12" t="n">
        <f aca="false">DEGREES(ASIN(MIN(MAX(Inputs!$B$5/Inputs!$B$6*SIN(RADIANS(A168)),-1),1)))</f>
        <v>3.10873802387914</v>
      </c>
      <c r="D168" s="12" t="n">
        <f aca="false">Inputs!$B$8+Inputs!$B$5*COS(RADIANS(A168))</f>
        <v>-1.13039452111154</v>
      </c>
      <c r="E168" s="12" t="n">
        <f aca="false">Inputs!$B$9+Inputs!$B$5*SIN(RADIANS(A168))</f>
        <v>0.281839008373613</v>
      </c>
      <c r="F168" s="12" t="n">
        <f aca="false">-Inputs!$B$6*(1-COS(RADIANS(C168)))</f>
        <v>-0.00764784646879297</v>
      </c>
      <c r="G168" s="12" t="n">
        <f aca="false">C168*Inputs!$B$7</f>
        <v>3.10873802387914</v>
      </c>
      <c r="H168" s="12" t="n">
        <f aca="false">SQRT(D168^2+E168^2)</f>
        <v>1.165</v>
      </c>
    </row>
    <row r="169" customFormat="false" ht="15" hidden="false" customHeight="false" outlineLevel="0" collapsed="false">
      <c r="A169" s="12" t="n">
        <f aca="false">167*Inputs!$B$10*Inputs!$B$7</f>
        <v>167</v>
      </c>
      <c r="B169" s="12" t="n">
        <f aca="false">167*Inputs!$B$10</f>
        <v>167</v>
      </c>
      <c r="C169" s="12" t="n">
        <f aca="false">DEGREES(ASIN(MIN(MAX(Inputs!$B$5/Inputs!$B$6*SIN(RADIANS(A169)),-1),1)))</f>
        <v>2.89046759056581</v>
      </c>
      <c r="D169" s="12" t="n">
        <f aca="false">Inputs!$B$8+Inputs!$B$5*COS(RADIANS(A169))</f>
        <v>-1.1351411254748</v>
      </c>
      <c r="E169" s="12" t="n">
        <f aca="false">Inputs!$B$9+Inputs!$B$5*SIN(RADIANS(A169))</f>
        <v>0.262067978310603</v>
      </c>
      <c r="F169" s="12" t="n">
        <f aca="false">-Inputs!$B$6*(1-COS(RADIANS(C169)))</f>
        <v>-0.00661182812458684</v>
      </c>
      <c r="G169" s="12" t="n">
        <f aca="false">C169*Inputs!$B$7</f>
        <v>2.89046759056581</v>
      </c>
      <c r="H169" s="12" t="n">
        <f aca="false">SQRT(D169^2+E169^2)</f>
        <v>1.165</v>
      </c>
    </row>
    <row r="170" customFormat="false" ht="15" hidden="false" customHeight="false" outlineLevel="0" collapsed="false">
      <c r="A170" s="12" t="n">
        <f aca="false">168*Inputs!$B$10*Inputs!$B$7</f>
        <v>168</v>
      </c>
      <c r="B170" s="12" t="n">
        <f aca="false">168*Inputs!$B$10</f>
        <v>168</v>
      </c>
      <c r="C170" s="12" t="n">
        <f aca="false">DEGREES(ASIN(MIN(MAX(Inputs!$B$5/Inputs!$B$6*SIN(RADIANS(A170)),-1),1)))</f>
        <v>2.67135808442831</v>
      </c>
      <c r="D170" s="12" t="n">
        <f aca="false">Inputs!$B$8+Inputs!$B$5*COS(RADIANS(A170))</f>
        <v>-1.13954195485488</v>
      </c>
      <c r="E170" s="12" t="n">
        <f aca="false">Inputs!$B$9+Inputs!$B$5*SIN(RADIANS(A170))</f>
        <v>0.24221711980269</v>
      </c>
      <c r="F170" s="12" t="n">
        <f aca="false">-Inputs!$B$6*(1-COS(RADIANS(C170)))</f>
        <v>-0.0056475878751506</v>
      </c>
      <c r="G170" s="12" t="n">
        <f aca="false">C170*Inputs!$B$7</f>
        <v>2.67135808442831</v>
      </c>
      <c r="H170" s="12" t="n">
        <f aca="false">SQRT(D170^2+E170^2)</f>
        <v>1.165</v>
      </c>
    </row>
    <row r="171" customFormat="false" ht="15" hidden="false" customHeight="false" outlineLevel="0" collapsed="false">
      <c r="A171" s="12" t="n">
        <f aca="false">169*Inputs!$B$10*Inputs!$B$7</f>
        <v>169</v>
      </c>
      <c r="B171" s="12" t="n">
        <f aca="false">169*Inputs!$B$10</f>
        <v>169</v>
      </c>
      <c r="C171" s="12" t="n">
        <f aca="false">DEGREES(ASIN(MIN(MAX(Inputs!$B$5/Inputs!$B$6*SIN(RADIANS(A171)),-1),1)))</f>
        <v>2.45147349467327</v>
      </c>
      <c r="D171" s="12" t="n">
        <f aca="false">Inputs!$B$8+Inputs!$B$5*COS(RADIANS(A171))</f>
        <v>-1.14359566871653</v>
      </c>
      <c r="E171" s="12" t="n">
        <f aca="false">Inputs!$B$9+Inputs!$B$5*SIN(RADIANS(A171))</f>
        <v>0.222292479613675</v>
      </c>
      <c r="F171" s="12" t="n">
        <f aca="false">-Inputs!$B$6*(1-COS(RADIANS(C171)))</f>
        <v>-0.00475626019856397</v>
      </c>
      <c r="G171" s="12" t="n">
        <f aca="false">C171*Inputs!$B$7</f>
        <v>2.45147349467327</v>
      </c>
      <c r="H171" s="12" t="n">
        <f aca="false">SQRT(D171^2+E171^2)</f>
        <v>1.165</v>
      </c>
    </row>
    <row r="172" customFormat="false" ht="15" hidden="false" customHeight="false" outlineLevel="0" collapsed="false">
      <c r="A172" s="12" t="n">
        <f aca="false">170*Inputs!$B$10*Inputs!$B$7</f>
        <v>170</v>
      </c>
      <c r="B172" s="12" t="n">
        <f aca="false">170*Inputs!$B$10</f>
        <v>170</v>
      </c>
      <c r="C172" s="12" t="n">
        <f aca="false">DEGREES(ASIN(MIN(MAX(Inputs!$B$5/Inputs!$B$6*SIN(RADIANS(A172)),-1),1)))</f>
        <v>2.23087794543019</v>
      </c>
      <c r="D172" s="12" t="n">
        <f aca="false">Inputs!$B$8+Inputs!$B$5*COS(RADIANS(A172))</f>
        <v>-1.14730103225922</v>
      </c>
      <c r="E172" s="12" t="n">
        <f aca="false">Inputs!$B$9+Inputs!$B$5*SIN(RADIANS(A172))</f>
        <v>0.202300126981974</v>
      </c>
      <c r="F172" s="12" t="n">
        <f aca="false">-Inputs!$B$6*(1-COS(RADIANS(C172)))</f>
        <v>-0.00393889323232837</v>
      </c>
      <c r="G172" s="12" t="n">
        <f aca="false">C172*Inputs!$B$7</f>
        <v>2.23087794543019</v>
      </c>
      <c r="H172" s="12" t="n">
        <f aca="false">SQRT(D172^2+E172^2)</f>
        <v>1.165</v>
      </c>
    </row>
    <row r="173" customFormat="false" ht="15" hidden="false" customHeight="false" outlineLevel="0" collapsed="false">
      <c r="A173" s="12" t="n">
        <f aca="false">171*Inputs!$B$10*Inputs!$B$7</f>
        <v>171</v>
      </c>
      <c r="B173" s="12" t="n">
        <f aca="false">171*Inputs!$B$10</f>
        <v>171</v>
      </c>
      <c r="C173" s="12" t="n">
        <f aca="false">DEGREES(ASIN(MIN(MAX(Inputs!$B$5/Inputs!$B$6*SIN(RADIANS(A173)),-1),1)))</f>
        <v>2.00963568378074</v>
      </c>
      <c r="D173" s="12" t="n">
        <f aca="false">Inputs!$B$8+Inputs!$B$5*COS(RADIANS(A173))</f>
        <v>-1.15065691679334</v>
      </c>
      <c r="E173" s="12" t="n">
        <f aca="false">Inputs!$B$9+Inputs!$B$5*SIN(RADIANS(A173))</f>
        <v>0.182246151771869</v>
      </c>
      <c r="F173" s="12" t="n">
        <f aca="false">-Inputs!$B$6*(1-COS(RADIANS(C173)))</f>
        <v>-0.00319644767302133</v>
      </c>
      <c r="G173" s="12" t="n">
        <f aca="false">C173*Inputs!$B$7</f>
        <v>2.00963568378074</v>
      </c>
      <c r="H173" s="12" t="n">
        <f aca="false">SQRT(D173^2+E173^2)</f>
        <v>1.165</v>
      </c>
    </row>
    <row r="174" customFormat="false" ht="15" hidden="false" customHeight="false" outlineLevel="0" collapsed="false">
      <c r="A174" s="12" t="n">
        <f aca="false">172*Inputs!$B$10*Inputs!$B$7</f>
        <v>172</v>
      </c>
      <c r="B174" s="12" t="n">
        <f aca="false">172*Inputs!$B$10</f>
        <v>172</v>
      </c>
      <c r="C174" s="12" t="n">
        <f aca="false">DEGREES(ASIN(MIN(MAX(Inputs!$B$5/Inputs!$B$6*SIN(RADIANS(A174)),-1),1)))</f>
        <v>1.7878110679747</v>
      </c>
      <c r="D174" s="12" t="n">
        <f aca="false">Inputs!$B$8+Inputs!$B$5*COS(RADIANS(A174))</f>
        <v>-1.15366230008393</v>
      </c>
      <c r="E174" s="12" t="n">
        <f aca="false">Inputs!$B$9+Inputs!$B$5*SIN(RADIANS(A174))</f>
        <v>0.162136662618476</v>
      </c>
      <c r="F174" s="12" t="n">
        <f aca="false">-Inputs!$B$6*(1-COS(RADIANS(C174)))</f>
        <v>-0.00252979576983803</v>
      </c>
      <c r="G174" s="12" t="n">
        <f aca="false">C174*Inputs!$B$7</f>
        <v>1.7878110679747</v>
      </c>
      <c r="H174" s="12" t="n">
        <f aca="false">SQRT(D174^2+E174^2)</f>
        <v>1.165</v>
      </c>
    </row>
    <row r="175" customFormat="false" ht="15" hidden="false" customHeight="false" outlineLevel="0" collapsed="false">
      <c r="A175" s="12" t="n">
        <f aca="false">173*Inputs!$B$10*Inputs!$B$7</f>
        <v>173</v>
      </c>
      <c r="B175" s="12" t="n">
        <f aca="false">173*Inputs!$B$10</f>
        <v>173</v>
      </c>
      <c r="C175" s="12" t="n">
        <f aca="false">DEGREES(ASIN(MIN(MAX(Inputs!$B$5/Inputs!$B$6*SIN(RADIANS(A175)),-1),1)))</f>
        <v>1.56546855581686</v>
      </c>
      <c r="D175" s="12" t="n">
        <f aca="false">Inputs!$B$8+Inputs!$B$5*COS(RADIANS(A175))</f>
        <v>-1.15631626666214</v>
      </c>
      <c r="E175" s="12" t="n">
        <f aca="false">Inputs!$B$9+Inputs!$B$5*SIN(RADIANS(A175))</f>
        <v>0.141977785066997</v>
      </c>
      <c r="F175" s="12" t="n">
        <f aca="false">-Inputs!$B$6*(1-COS(RADIANS(C175)))</f>
        <v>-0.00193972041252736</v>
      </c>
      <c r="G175" s="12" t="n">
        <f aca="false">C175*Inputs!$B$7</f>
        <v>1.56546855581686</v>
      </c>
      <c r="H175" s="12" t="n">
        <f aca="false">SQRT(D175^2+E175^2)</f>
        <v>1.165</v>
      </c>
    </row>
    <row r="176" customFormat="false" ht="15" hidden="false" customHeight="false" outlineLevel="0" collapsed="false">
      <c r="A176" s="12" t="n">
        <f aca="false">174*Inputs!$B$10*Inputs!$B$7</f>
        <v>174</v>
      </c>
      <c r="B176" s="12" t="n">
        <f aca="false">174*Inputs!$B$10</f>
        <v>174</v>
      </c>
      <c r="C176" s="12" t="n">
        <f aca="false">DEGREES(ASIN(MIN(MAX(Inputs!$B$5/Inputs!$B$6*SIN(RADIANS(A176)),-1),1)))</f>
        <v>1.34267269320904</v>
      </c>
      <c r="D176" s="12" t="n">
        <f aca="false">Inputs!$B$8+Inputs!$B$5*COS(RADIANS(A176))</f>
        <v>-1.15861800810404</v>
      </c>
      <c r="E176" s="12" t="n">
        <f aca="false">Inputs!$B$9+Inputs!$B$5*SIN(RADIANS(A176))</f>
        <v>0.121775659706817</v>
      </c>
      <c r="F176" s="12" t="n">
        <f aca="false">-Inputs!$B$6*(1-COS(RADIANS(C176)))</f>
        <v>-0.00142691431417059</v>
      </c>
      <c r="G176" s="12" t="n">
        <f aca="false">C176*Inputs!$B$7</f>
        <v>1.34267269320904</v>
      </c>
      <c r="H176" s="12" t="n">
        <f aca="false">SQRT(D176^2+E176^2)</f>
        <v>1.165</v>
      </c>
    </row>
    <row r="177" customFormat="false" ht="15" hidden="false" customHeight="false" outlineLevel="0" collapsed="false">
      <c r="A177" s="12" t="n">
        <f aca="false">175*Inputs!$B$10*Inputs!$B$7</f>
        <v>175</v>
      </c>
      <c r="B177" s="12" t="n">
        <f aca="false">175*Inputs!$B$10</f>
        <v>175</v>
      </c>
      <c r="C177" s="12" t="n">
        <f aca="false">DEGREES(ASIN(MIN(MAX(Inputs!$B$5/Inputs!$B$6*SIN(RADIANS(A177)),-1),1)))</f>
        <v>1.11948810283088</v>
      </c>
      <c r="D177" s="12" t="n">
        <f aca="false">Inputs!$B$8+Inputs!$B$5*COS(RADIANS(A177))</f>
        <v>-1.16056682327688</v>
      </c>
      <c r="E177" s="12" t="n">
        <f aca="false">Inputs!$B$9+Inputs!$B$5*SIN(RADIANS(A177))</f>
        <v>0.101536440301022</v>
      </c>
      <c r="F177" s="12" t="n">
        <f aca="false">-Inputs!$B$6*(1-COS(RADIANS(C177)))</f>
        <v>-0.000991979289196938</v>
      </c>
      <c r="G177" s="12" t="n">
        <f aca="false">C177*Inputs!$B$7</f>
        <v>1.11948810283088</v>
      </c>
      <c r="H177" s="12" t="n">
        <f aca="false">SQRT(D177^2+E177^2)</f>
        <v>1.165</v>
      </c>
    </row>
    <row r="178" customFormat="false" ht="15" hidden="false" customHeight="false" outlineLevel="0" collapsed="false">
      <c r="A178" s="12" t="n">
        <f aca="false">176*Inputs!$B$10*Inputs!$B$7</f>
        <v>176</v>
      </c>
      <c r="B178" s="12" t="n">
        <f aca="false">176*Inputs!$B$10</f>
        <v>176</v>
      </c>
      <c r="C178" s="12" t="n">
        <f aca="false">DEGREES(ASIN(MIN(MAX(Inputs!$B$5/Inputs!$B$6*SIN(RADIANS(A178)),-1),1)))</f>
        <v>0.895979472942742</v>
      </c>
      <c r="D178" s="12" t="n">
        <f aca="false">Inputs!$B$8+Inputs!$B$5*COS(RADIANS(A178))</f>
        <v>-1.1621621185527</v>
      </c>
      <c r="E178" s="12" t="n">
        <f aca="false">Inputs!$B$9+Inputs!$B$5*SIN(RADIANS(A178))</f>
        <v>0.0812662919119062</v>
      </c>
      <c r="F178" s="12" t="n">
        <f aca="false">-Inputs!$B$6*(1-COS(RADIANS(C178)))</f>
        <v>-0.000635425626980894</v>
      </c>
      <c r="G178" s="12" t="n">
        <f aca="false">C178*Inputs!$B$7</f>
        <v>0.895979472942742</v>
      </c>
      <c r="H178" s="12" t="n">
        <f aca="false">SQRT(D178^2+E178^2)</f>
        <v>1.165</v>
      </c>
    </row>
    <row r="179" customFormat="false" ht="15" hidden="false" customHeight="false" outlineLevel="0" collapsed="false">
      <c r="A179" s="12" t="n">
        <f aca="false">177*Inputs!$B$10*Inputs!$B$7</f>
        <v>177</v>
      </c>
      <c r="B179" s="12" t="n">
        <f aca="false">177*Inputs!$B$10</f>
        <v>177</v>
      </c>
      <c r="C179" s="12" t="n">
        <f aca="false">DEGREES(ASIN(MIN(MAX(Inputs!$B$5/Inputs!$B$6*SIN(RADIANS(A179)),-1),1)))</f>
        <v>0.672211546293769</v>
      </c>
      <c r="D179" s="12" t="n">
        <f aca="false">Inputs!$B$8+Inputs!$B$5*COS(RADIANS(A179))</f>
        <v>-1.16340340798908</v>
      </c>
      <c r="E179" s="12" t="n">
        <f aca="false">Inputs!$B$9+Inputs!$B$5*SIN(RADIANS(A179))</f>
        <v>0.0609713890230301</v>
      </c>
      <c r="F179" s="12" t="n">
        <f aca="false">-Inputs!$B$6*(1-COS(RADIANS(C179)))</f>
        <v>-0.000357671561318559</v>
      </c>
      <c r="G179" s="12" t="n">
        <f aca="false">C179*Inputs!$B$7</f>
        <v>0.672211546293769</v>
      </c>
      <c r="H179" s="12" t="n">
        <f aca="false">SQRT(D179^2+E179^2)</f>
        <v>1.165</v>
      </c>
    </row>
    <row r="180" customFormat="false" ht="15" hidden="false" customHeight="false" outlineLevel="0" collapsed="false">
      <c r="A180" s="12" t="n">
        <f aca="false">178*Inputs!$B$10*Inputs!$B$7</f>
        <v>178</v>
      </c>
      <c r="B180" s="12" t="n">
        <f aca="false">178*Inputs!$B$10</f>
        <v>178</v>
      </c>
      <c r="C180" s="12" t="n">
        <f aca="false">DEGREES(ASIN(MIN(MAX(Inputs!$B$5/Inputs!$B$6*SIN(RADIANS(A180)),-1),1)))</f>
        <v>0.448249109117969</v>
      </c>
      <c r="D180" s="12" t="n">
        <f aca="false">Inputs!$B$8+Inputs!$B$5*COS(RADIANS(A180))</f>
        <v>-1.16429031347725</v>
      </c>
      <c r="E180" s="12" t="n">
        <f aca="false">Inputs!$B$9+Inputs!$B$5*SIN(RADIANS(A180))</f>
        <v>0.0406579136584138</v>
      </c>
      <c r="F180" s="12" t="n">
        <f aca="false">-Inputs!$B$6*(1-COS(RADIANS(C180)))</f>
        <v>-0.000159042836028185</v>
      </c>
      <c r="G180" s="12" t="n">
        <f aca="false">C180*Inputs!$B$7</f>
        <v>0.448249109117969</v>
      </c>
      <c r="H180" s="12" t="n">
        <f aca="false">SQRT(D180^2+E180^2)</f>
        <v>1.165</v>
      </c>
    </row>
    <row r="181" customFormat="false" ht="15" hidden="false" customHeight="false" outlineLevel="0" collapsed="false">
      <c r="A181" s="12" t="n">
        <f aca="false">179*Inputs!$B$10*Inputs!$B$7</f>
        <v>179</v>
      </c>
      <c r="B181" s="12" t="n">
        <f aca="false">179*Inputs!$B$10</f>
        <v>179</v>
      </c>
      <c r="C181" s="12" t="n">
        <f aca="false">DEGREES(ASIN(MIN(MAX(Inputs!$B$5/Inputs!$B$6*SIN(RADIANS(A181)),-1),1)))</f>
        <v>0.224156980200994</v>
      </c>
      <c r="D181" s="12" t="n">
        <f aca="false">Inputs!$B$8+Inputs!$B$5*COS(RADIANS(A181))</f>
        <v>-1.1648225648572</v>
      </c>
      <c r="E181" s="12" t="n">
        <f aca="false">Inputs!$B$9+Inputs!$B$5*SIN(RADIANS(A181))</f>
        <v>0.0203320534994352</v>
      </c>
      <c r="F181" s="12" t="n">
        <f aca="false">-Inputs!$B$6*(1-COS(RADIANS(C181)))</f>
        <v>-3.97723668797299E-005</v>
      </c>
      <c r="G181" s="12" t="n">
        <f aca="false">C181*Inputs!$B$7</f>
        <v>0.224156980200994</v>
      </c>
      <c r="H181" s="12" t="n">
        <f aca="false">SQRT(D181^2+E181^2)</f>
        <v>1.165</v>
      </c>
    </row>
    <row r="182" customFormat="false" ht="15" hidden="false" customHeight="false" outlineLevel="0" collapsed="false">
      <c r="A182" s="12" t="n">
        <f aca="false">180*Inputs!$B$10*Inputs!$B$7</f>
        <v>180</v>
      </c>
      <c r="B182" s="12" t="n">
        <f aca="false">180*Inputs!$B$10</f>
        <v>180</v>
      </c>
      <c r="C182" s="12" t="n">
        <f aca="false">DEGREES(ASIN(MIN(MAX(Inputs!$B$5/Inputs!$B$6*SIN(RADIANS(A182)),-1),1)))</f>
        <v>1.57292021027384E-015</v>
      </c>
      <c r="D182" s="12" t="n">
        <f aca="false">Inputs!$B$8+Inputs!$B$5*COS(RADIANS(A182))</f>
        <v>-1.165</v>
      </c>
      <c r="E182" s="12" t="n">
        <f aca="false">Inputs!$B$9+Inputs!$B$5*SIN(RADIANS(A182))</f>
        <v>1.42671352100667E-016</v>
      </c>
      <c r="F182" s="12" t="n">
        <f aca="false">-Inputs!$B$6*(1-COS(RADIANS(C182)))</f>
        <v>-0</v>
      </c>
      <c r="G182" s="12" t="n">
        <f aca="false">C182*Inputs!$B$7</f>
        <v>1.57292021027384E-015</v>
      </c>
      <c r="H182" s="12" t="n">
        <f aca="false">SQRT(D182^2+E182^2)</f>
        <v>1.165</v>
      </c>
    </row>
    <row r="183" customFormat="false" ht="15" hidden="false" customHeight="false" outlineLevel="0" collapsed="false">
      <c r="A183" s="12" t="n">
        <f aca="false">181*Inputs!$B$10*Inputs!$B$7</f>
        <v>181</v>
      </c>
      <c r="B183" s="12" t="n">
        <f aca="false">181*Inputs!$B$10</f>
        <v>181</v>
      </c>
      <c r="C183" s="12" t="n">
        <f aca="false">DEGREES(ASIN(MIN(MAX(Inputs!$B$5/Inputs!$B$6*SIN(RADIANS(A183)),-1),1)))</f>
        <v>-0.224156980200991</v>
      </c>
      <c r="D183" s="12" t="n">
        <f aca="false">Inputs!$B$8+Inputs!$B$5*COS(RADIANS(A183))</f>
        <v>-1.1648225648572</v>
      </c>
      <c r="E183" s="12" t="n">
        <f aca="false">Inputs!$B$9+Inputs!$B$5*SIN(RADIANS(A183))</f>
        <v>-0.0203320534994349</v>
      </c>
      <c r="F183" s="12" t="n">
        <f aca="false">-Inputs!$B$6*(1-COS(RADIANS(C183)))</f>
        <v>-3.97723668797299E-005</v>
      </c>
      <c r="G183" s="12" t="n">
        <f aca="false">C183*Inputs!$B$7</f>
        <v>-0.224156980200991</v>
      </c>
      <c r="H183" s="12" t="n">
        <f aca="false">SQRT(D183^2+E183^2)</f>
        <v>1.165</v>
      </c>
    </row>
    <row r="184" customFormat="false" ht="15" hidden="false" customHeight="false" outlineLevel="0" collapsed="false">
      <c r="A184" s="12" t="n">
        <f aca="false">182*Inputs!$B$10*Inputs!$B$7</f>
        <v>182</v>
      </c>
      <c r="B184" s="12" t="n">
        <f aca="false">182*Inputs!$B$10</f>
        <v>182</v>
      </c>
      <c r="C184" s="12" t="n">
        <f aca="false">DEGREES(ASIN(MIN(MAX(Inputs!$B$5/Inputs!$B$6*SIN(RADIANS(A184)),-1),1)))</f>
        <v>-0.448249109117966</v>
      </c>
      <c r="D184" s="12" t="n">
        <f aca="false">Inputs!$B$8+Inputs!$B$5*COS(RADIANS(A184))</f>
        <v>-1.16429031347725</v>
      </c>
      <c r="E184" s="12" t="n">
        <f aca="false">Inputs!$B$9+Inputs!$B$5*SIN(RADIANS(A184))</f>
        <v>-0.0406579136584136</v>
      </c>
      <c r="F184" s="12" t="n">
        <f aca="false">-Inputs!$B$6*(1-COS(RADIANS(C184)))</f>
        <v>-0.000159042836028185</v>
      </c>
      <c r="G184" s="12" t="n">
        <f aca="false">C184*Inputs!$B$7</f>
        <v>-0.448249109117966</v>
      </c>
      <c r="H184" s="12" t="n">
        <f aca="false">SQRT(D184^2+E184^2)</f>
        <v>1.165</v>
      </c>
    </row>
    <row r="185" customFormat="false" ht="15" hidden="false" customHeight="false" outlineLevel="0" collapsed="false">
      <c r="A185" s="12" t="n">
        <f aca="false">183*Inputs!$B$10*Inputs!$B$7</f>
        <v>183</v>
      </c>
      <c r="B185" s="12" t="n">
        <f aca="false">183*Inputs!$B$10</f>
        <v>183</v>
      </c>
      <c r="C185" s="12" t="n">
        <f aca="false">DEGREES(ASIN(MIN(MAX(Inputs!$B$5/Inputs!$B$6*SIN(RADIANS(A185)),-1),1)))</f>
        <v>-0.67221154629376</v>
      </c>
      <c r="D185" s="12" t="n">
        <f aca="false">Inputs!$B$8+Inputs!$B$5*COS(RADIANS(A185))</f>
        <v>-1.16340340798908</v>
      </c>
      <c r="E185" s="12" t="n">
        <f aca="false">Inputs!$B$9+Inputs!$B$5*SIN(RADIANS(A185))</f>
        <v>-0.0609713890230293</v>
      </c>
      <c r="F185" s="12" t="n">
        <f aca="false">-Inputs!$B$6*(1-COS(RADIANS(C185)))</f>
        <v>-0.000357671561318559</v>
      </c>
      <c r="G185" s="12" t="n">
        <f aca="false">C185*Inputs!$B$7</f>
        <v>-0.67221154629376</v>
      </c>
      <c r="H185" s="12" t="n">
        <f aca="false">SQRT(D185^2+E185^2)</f>
        <v>1.165</v>
      </c>
    </row>
    <row r="186" customFormat="false" ht="15" hidden="false" customHeight="false" outlineLevel="0" collapsed="false">
      <c r="A186" s="12" t="n">
        <f aca="false">184*Inputs!$B$10*Inputs!$B$7</f>
        <v>184</v>
      </c>
      <c r="B186" s="12" t="n">
        <f aca="false">184*Inputs!$B$10</f>
        <v>184</v>
      </c>
      <c r="C186" s="12" t="n">
        <f aca="false">DEGREES(ASIN(MIN(MAX(Inputs!$B$5/Inputs!$B$6*SIN(RADIANS(A186)),-1),1)))</f>
        <v>-0.895979472942733</v>
      </c>
      <c r="D186" s="12" t="n">
        <f aca="false">Inputs!$B$8+Inputs!$B$5*COS(RADIANS(A186))</f>
        <v>-1.1621621185527</v>
      </c>
      <c r="E186" s="12" t="n">
        <f aca="false">Inputs!$B$9+Inputs!$B$5*SIN(RADIANS(A186))</f>
        <v>-0.0812662919119054</v>
      </c>
      <c r="F186" s="12" t="n">
        <f aca="false">-Inputs!$B$6*(1-COS(RADIANS(C186)))</f>
        <v>-0.000635425626980894</v>
      </c>
      <c r="G186" s="12" t="n">
        <f aca="false">C186*Inputs!$B$7</f>
        <v>-0.895979472942733</v>
      </c>
      <c r="H186" s="12" t="n">
        <f aca="false">SQRT(D186^2+E186^2)</f>
        <v>1.165</v>
      </c>
    </row>
    <row r="187" customFormat="false" ht="15" hidden="false" customHeight="false" outlineLevel="0" collapsed="false">
      <c r="A187" s="12" t="n">
        <f aca="false">185*Inputs!$B$10*Inputs!$B$7</f>
        <v>185</v>
      </c>
      <c r="B187" s="12" t="n">
        <f aca="false">185*Inputs!$B$10</f>
        <v>185</v>
      </c>
      <c r="C187" s="12" t="n">
        <f aca="false">DEGREES(ASIN(MIN(MAX(Inputs!$B$5/Inputs!$B$6*SIN(RADIANS(A187)),-1),1)))</f>
        <v>-1.11948810283087</v>
      </c>
      <c r="D187" s="12" t="n">
        <f aca="false">Inputs!$B$8+Inputs!$B$5*COS(RADIANS(A187))</f>
        <v>-1.16056682327688</v>
      </c>
      <c r="E187" s="12" t="n">
        <f aca="false">Inputs!$B$9+Inputs!$B$5*SIN(RADIANS(A187))</f>
        <v>-0.101536440301022</v>
      </c>
      <c r="F187" s="12" t="n">
        <f aca="false">-Inputs!$B$6*(1-COS(RADIANS(C187)))</f>
        <v>-0.000991979289196938</v>
      </c>
      <c r="G187" s="12" t="n">
        <f aca="false">C187*Inputs!$B$7</f>
        <v>-1.11948810283087</v>
      </c>
      <c r="H187" s="12" t="n">
        <f aca="false">SQRT(D187^2+E187^2)</f>
        <v>1.165</v>
      </c>
    </row>
    <row r="188" customFormat="false" ht="15" hidden="false" customHeight="false" outlineLevel="0" collapsed="false">
      <c r="A188" s="12" t="n">
        <f aca="false">186*Inputs!$B$10*Inputs!$B$7</f>
        <v>186</v>
      </c>
      <c r="B188" s="12" t="n">
        <f aca="false">186*Inputs!$B$10</f>
        <v>186</v>
      </c>
      <c r="C188" s="12" t="n">
        <f aca="false">DEGREES(ASIN(MIN(MAX(Inputs!$B$5/Inputs!$B$6*SIN(RADIANS(A188)),-1),1)))</f>
        <v>-1.34267269320903</v>
      </c>
      <c r="D188" s="12" t="n">
        <f aca="false">Inputs!$B$8+Inputs!$B$5*COS(RADIANS(A188))</f>
        <v>-1.15861800810404</v>
      </c>
      <c r="E188" s="12" t="n">
        <f aca="false">Inputs!$B$9+Inputs!$B$5*SIN(RADIANS(A188))</f>
        <v>-0.121775659706816</v>
      </c>
      <c r="F188" s="12" t="n">
        <f aca="false">-Inputs!$B$6*(1-COS(RADIANS(C188)))</f>
        <v>-0.00142691431417059</v>
      </c>
      <c r="G188" s="12" t="n">
        <f aca="false">C188*Inputs!$B$7</f>
        <v>-1.34267269320903</v>
      </c>
      <c r="H188" s="12" t="n">
        <f aca="false">SQRT(D188^2+E188^2)</f>
        <v>1.165</v>
      </c>
    </row>
    <row r="189" customFormat="false" ht="15" hidden="false" customHeight="false" outlineLevel="0" collapsed="false">
      <c r="A189" s="12" t="n">
        <f aca="false">187*Inputs!$B$10*Inputs!$B$7</f>
        <v>187</v>
      </c>
      <c r="B189" s="12" t="n">
        <f aca="false">187*Inputs!$B$10</f>
        <v>187</v>
      </c>
      <c r="C189" s="12" t="n">
        <f aca="false">DEGREES(ASIN(MIN(MAX(Inputs!$B$5/Inputs!$B$6*SIN(RADIANS(A189)),-1),1)))</f>
        <v>-1.56546855581686</v>
      </c>
      <c r="D189" s="12" t="n">
        <f aca="false">Inputs!$B$8+Inputs!$B$5*COS(RADIANS(A189))</f>
        <v>-1.15631626666214</v>
      </c>
      <c r="E189" s="12" t="n">
        <f aca="false">Inputs!$B$9+Inputs!$B$5*SIN(RADIANS(A189))</f>
        <v>-0.141977785066997</v>
      </c>
      <c r="F189" s="12" t="n">
        <f aca="false">-Inputs!$B$6*(1-COS(RADIANS(C189)))</f>
        <v>-0.00193972041252736</v>
      </c>
      <c r="G189" s="12" t="n">
        <f aca="false">C189*Inputs!$B$7</f>
        <v>-1.56546855581686</v>
      </c>
      <c r="H189" s="12" t="n">
        <f aca="false">SQRT(D189^2+E189^2)</f>
        <v>1.165</v>
      </c>
    </row>
    <row r="190" customFormat="false" ht="15" hidden="false" customHeight="false" outlineLevel="0" collapsed="false">
      <c r="A190" s="12" t="n">
        <f aca="false">188*Inputs!$B$10*Inputs!$B$7</f>
        <v>188</v>
      </c>
      <c r="B190" s="12" t="n">
        <f aca="false">188*Inputs!$B$10</f>
        <v>188</v>
      </c>
      <c r="C190" s="12" t="n">
        <f aca="false">DEGREES(ASIN(MIN(MAX(Inputs!$B$5/Inputs!$B$6*SIN(RADIANS(A190)),-1),1)))</f>
        <v>-1.7878110679747</v>
      </c>
      <c r="D190" s="12" t="n">
        <f aca="false">Inputs!$B$8+Inputs!$B$5*COS(RADIANS(A190))</f>
        <v>-1.15366230008393</v>
      </c>
      <c r="E190" s="12" t="n">
        <f aca="false">Inputs!$B$9+Inputs!$B$5*SIN(RADIANS(A190))</f>
        <v>-0.162136662618476</v>
      </c>
      <c r="F190" s="12" t="n">
        <f aca="false">-Inputs!$B$6*(1-COS(RADIANS(C190)))</f>
        <v>-0.00252979576983803</v>
      </c>
      <c r="G190" s="12" t="n">
        <f aca="false">C190*Inputs!$B$7</f>
        <v>-1.7878110679747</v>
      </c>
      <c r="H190" s="12" t="n">
        <f aca="false">SQRT(D190^2+E190^2)</f>
        <v>1.165</v>
      </c>
    </row>
    <row r="191" customFormat="false" ht="15" hidden="false" customHeight="false" outlineLevel="0" collapsed="false">
      <c r="A191" s="12" t="n">
        <f aca="false">189*Inputs!$B$10*Inputs!$B$7</f>
        <v>189</v>
      </c>
      <c r="B191" s="12" t="n">
        <f aca="false">189*Inputs!$B$10</f>
        <v>189</v>
      </c>
      <c r="C191" s="12" t="n">
        <f aca="false">DEGREES(ASIN(MIN(MAX(Inputs!$B$5/Inputs!$B$6*SIN(RADIANS(A191)),-1),1)))</f>
        <v>-2.00963568378074</v>
      </c>
      <c r="D191" s="12" t="n">
        <f aca="false">Inputs!$B$8+Inputs!$B$5*COS(RADIANS(A191))</f>
        <v>-1.15065691679334</v>
      </c>
      <c r="E191" s="12" t="n">
        <f aca="false">Inputs!$B$9+Inputs!$B$5*SIN(RADIANS(A191))</f>
        <v>-0.182246151771869</v>
      </c>
      <c r="F191" s="12" t="n">
        <f aca="false">-Inputs!$B$6*(1-COS(RADIANS(C191)))</f>
        <v>-0.00319644767302133</v>
      </c>
      <c r="G191" s="12" t="n">
        <f aca="false">C191*Inputs!$B$7</f>
        <v>-2.00963568378074</v>
      </c>
      <c r="H191" s="12" t="n">
        <f aca="false">SQRT(D191^2+E191^2)</f>
        <v>1.165</v>
      </c>
    </row>
    <row r="192" customFormat="false" ht="15" hidden="false" customHeight="false" outlineLevel="0" collapsed="false">
      <c r="A192" s="12" t="n">
        <f aca="false">190*Inputs!$B$10*Inputs!$B$7</f>
        <v>190</v>
      </c>
      <c r="B192" s="12" t="n">
        <f aca="false">190*Inputs!$B$10</f>
        <v>190</v>
      </c>
      <c r="C192" s="12" t="n">
        <f aca="false">DEGREES(ASIN(MIN(MAX(Inputs!$B$5/Inputs!$B$6*SIN(RADIANS(A192)),-1),1)))</f>
        <v>-2.23087794543018</v>
      </c>
      <c r="D192" s="12" t="n">
        <f aca="false">Inputs!$B$8+Inputs!$B$5*COS(RADIANS(A192))</f>
        <v>-1.14730103225922</v>
      </c>
      <c r="E192" s="12" t="n">
        <f aca="false">Inputs!$B$9+Inputs!$B$5*SIN(RADIANS(A192))</f>
        <v>-0.202300126981974</v>
      </c>
      <c r="F192" s="12" t="n">
        <f aca="false">-Inputs!$B$6*(1-COS(RADIANS(C192)))</f>
        <v>-0.00393889323232837</v>
      </c>
      <c r="G192" s="12" t="n">
        <f aca="false">C192*Inputs!$B$7</f>
        <v>-2.23087794543018</v>
      </c>
      <c r="H192" s="12" t="n">
        <f aca="false">SQRT(D192^2+E192^2)</f>
        <v>1.165</v>
      </c>
    </row>
    <row r="193" customFormat="false" ht="15" hidden="false" customHeight="false" outlineLevel="0" collapsed="false">
      <c r="A193" s="12" t="n">
        <f aca="false">191*Inputs!$B$10*Inputs!$B$7</f>
        <v>191</v>
      </c>
      <c r="B193" s="12" t="n">
        <f aca="false">191*Inputs!$B$10</f>
        <v>191</v>
      </c>
      <c r="C193" s="12" t="n">
        <f aca="false">DEGREES(ASIN(MIN(MAX(Inputs!$B$5/Inputs!$B$6*SIN(RADIANS(A193)),-1),1)))</f>
        <v>-2.45147349467327</v>
      </c>
      <c r="D193" s="12" t="n">
        <f aca="false">Inputs!$B$8+Inputs!$B$5*COS(RADIANS(A193))</f>
        <v>-1.14359566871653</v>
      </c>
      <c r="E193" s="12" t="n">
        <f aca="false">Inputs!$B$9+Inputs!$B$5*SIN(RADIANS(A193))</f>
        <v>-0.222292479613675</v>
      </c>
      <c r="F193" s="12" t="n">
        <f aca="false">-Inputs!$B$6*(1-COS(RADIANS(C193)))</f>
        <v>-0.00475626019856397</v>
      </c>
      <c r="G193" s="12" t="n">
        <f aca="false">C193*Inputs!$B$7</f>
        <v>-2.45147349467327</v>
      </c>
      <c r="H193" s="12" t="n">
        <f aca="false">SQRT(D193^2+E193^2)</f>
        <v>1.165</v>
      </c>
    </row>
    <row r="194" customFormat="false" ht="15" hidden="false" customHeight="false" outlineLevel="0" collapsed="false">
      <c r="A194" s="12" t="n">
        <f aca="false">192*Inputs!$B$10*Inputs!$B$7</f>
        <v>192</v>
      </c>
      <c r="B194" s="12" t="n">
        <f aca="false">192*Inputs!$B$10</f>
        <v>192</v>
      </c>
      <c r="C194" s="12" t="n">
        <f aca="false">DEGREES(ASIN(MIN(MAX(Inputs!$B$5/Inputs!$B$6*SIN(RADIANS(A194)),-1),1)))</f>
        <v>-2.67135808442831</v>
      </c>
      <c r="D194" s="12" t="n">
        <f aca="false">Inputs!$B$8+Inputs!$B$5*COS(RADIANS(A194))</f>
        <v>-1.13954195485488</v>
      </c>
      <c r="E194" s="12" t="n">
        <f aca="false">Inputs!$B$9+Inputs!$B$5*SIN(RADIANS(A194))</f>
        <v>-0.242217119802689</v>
      </c>
      <c r="F194" s="12" t="n">
        <f aca="false">-Inputs!$B$6*(1-COS(RADIANS(C194)))</f>
        <v>-0.0056475878751506</v>
      </c>
      <c r="G194" s="12" t="n">
        <f aca="false">C194*Inputs!$B$7</f>
        <v>-2.67135808442831</v>
      </c>
      <c r="H194" s="12" t="n">
        <f aca="false">SQRT(D194^2+E194^2)</f>
        <v>1.165</v>
      </c>
    </row>
    <row r="195" customFormat="false" ht="15" hidden="false" customHeight="false" outlineLevel="0" collapsed="false">
      <c r="A195" s="12" t="n">
        <f aca="false">193*Inputs!$B$10*Inputs!$B$7</f>
        <v>193</v>
      </c>
      <c r="B195" s="12" t="n">
        <f aca="false">193*Inputs!$B$10</f>
        <v>193</v>
      </c>
      <c r="C195" s="12" t="n">
        <f aca="false">DEGREES(ASIN(MIN(MAX(Inputs!$B$5/Inputs!$B$6*SIN(RADIANS(A195)),-1),1)))</f>
        <v>-2.8904675905658</v>
      </c>
      <c r="D195" s="12" t="n">
        <f aca="false">Inputs!$B$8+Inputs!$B$5*COS(RADIANS(A195))</f>
        <v>-1.1351411254748</v>
      </c>
      <c r="E195" s="12" t="n">
        <f aca="false">Inputs!$B$9+Inputs!$B$5*SIN(RADIANS(A195))</f>
        <v>-0.262067978310603</v>
      </c>
      <c r="F195" s="12" t="n">
        <f aca="false">-Inputs!$B$6*(1-COS(RADIANS(C195)))</f>
        <v>-0.00661182812458684</v>
      </c>
      <c r="G195" s="12" t="n">
        <f aca="false">C195*Inputs!$B$7</f>
        <v>-2.8904675905658</v>
      </c>
      <c r="H195" s="12" t="n">
        <f aca="false">SQRT(D195^2+E195^2)</f>
        <v>1.165</v>
      </c>
    </row>
    <row r="196" customFormat="false" ht="15" hidden="false" customHeight="false" outlineLevel="0" collapsed="false">
      <c r="A196" s="12" t="n">
        <f aca="false">194*Inputs!$B$10*Inputs!$B$7</f>
        <v>194</v>
      </c>
      <c r="B196" s="12" t="n">
        <f aca="false">194*Inputs!$B$10</f>
        <v>194</v>
      </c>
      <c r="C196" s="12" t="n">
        <f aca="false">DEGREES(ASIN(MIN(MAX(Inputs!$B$5/Inputs!$B$6*SIN(RADIANS(A196)),-1),1)))</f>
        <v>-3.10873802387914</v>
      </c>
      <c r="D196" s="12" t="n">
        <f aca="false">Inputs!$B$8+Inputs!$B$5*COS(RADIANS(A196))</f>
        <v>-1.13039452111154</v>
      </c>
      <c r="E196" s="12" t="n">
        <f aca="false">Inputs!$B$9+Inputs!$B$5*SIN(RADIANS(A196))</f>
        <v>-0.281839008373613</v>
      </c>
      <c r="F196" s="12" t="n">
        <f aca="false">-Inputs!$B$6*(1-COS(RADIANS(C196)))</f>
        <v>-0.00764784646879297</v>
      </c>
      <c r="G196" s="12" t="n">
        <f aca="false">C196*Inputs!$B$7</f>
        <v>-3.10873802387914</v>
      </c>
      <c r="H196" s="12" t="n">
        <f aca="false">SQRT(D196^2+E196^2)</f>
        <v>1.165</v>
      </c>
    </row>
    <row r="197" customFormat="false" ht="15" hidden="false" customHeight="false" outlineLevel="0" collapsed="false">
      <c r="A197" s="12" t="n">
        <f aca="false">195*Inputs!$B$10*Inputs!$B$7</f>
        <v>195</v>
      </c>
      <c r="B197" s="12" t="n">
        <f aca="false">195*Inputs!$B$10</f>
        <v>195</v>
      </c>
      <c r="C197" s="12" t="n">
        <f aca="false">DEGREES(ASIN(MIN(MAX(Inputs!$B$5/Inputs!$B$6*SIN(RADIANS(A197)),-1),1)))</f>
        <v>-3.32610554225704</v>
      </c>
      <c r="D197" s="12" t="n">
        <f aca="false">Inputs!$B$8+Inputs!$B$5*COS(RADIANS(A197))</f>
        <v>-1.12530358762676</v>
      </c>
      <c r="E197" s="12" t="n">
        <f aca="false">Inputs!$B$9+Inputs!$B$5*SIN(RADIANS(A197))</f>
        <v>-0.301524187544436</v>
      </c>
      <c r="F197" s="12" t="n">
        <f aca="false">-Inputs!$B$6*(1-COS(RADIANS(C197)))</f>
        <v>-0.00875442328279286</v>
      </c>
      <c r="G197" s="12" t="n">
        <f aca="false">C197*Inputs!$B$7</f>
        <v>-3.32610554225704</v>
      </c>
      <c r="H197" s="12" t="n">
        <f aca="false">SQRT(D197^2+E197^2)</f>
        <v>1.165</v>
      </c>
    </row>
    <row r="198" customFormat="false" ht="15" hidden="false" customHeight="false" outlineLevel="0" collapsed="false">
      <c r="A198" s="12" t="n">
        <f aca="false">196*Inputs!$B$10*Inputs!$B$7</f>
        <v>196</v>
      </c>
      <c r="B198" s="12" t="n">
        <f aca="false">196*Inputs!$B$10</f>
        <v>196</v>
      </c>
      <c r="C198" s="12" t="n">
        <f aca="false">DEGREES(ASIN(MIN(MAX(Inputs!$B$5/Inputs!$B$6*SIN(RADIANS(A198)),-1),1)))</f>
        <v>-3.54250646307235</v>
      </c>
      <c r="D198" s="12" t="n">
        <f aca="false">Inputs!$B$8+Inputs!$B$5*COS(RADIANS(A198))</f>
        <v>-1.11986987576814</v>
      </c>
      <c r="E198" s="12" t="n">
        <f aca="false">Inputs!$B$9+Inputs!$B$5*SIN(RADIANS(A198))</f>
        <v>-0.321117519526803</v>
      </c>
      <c r="F198" s="12" t="n">
        <f aca="false">-Inputs!$B$6*(1-COS(RADIANS(C198)))</f>
        <v>-0.00993025508110656</v>
      </c>
      <c r="G198" s="12" t="n">
        <f aca="false">C198*Inputs!$B$7</f>
        <v>-3.54250646307235</v>
      </c>
      <c r="H198" s="12" t="n">
        <f aca="false">SQRT(D198^2+E198^2)</f>
        <v>1.165</v>
      </c>
    </row>
    <row r="199" customFormat="false" ht="15" hidden="false" customHeight="false" outlineLevel="0" collapsed="false">
      <c r="A199" s="12" t="n">
        <f aca="false">197*Inputs!$B$10*Inputs!$B$7</f>
        <v>197</v>
      </c>
      <c r="B199" s="12" t="n">
        <f aca="false">197*Inputs!$B$10</f>
        <v>197</v>
      </c>
      <c r="C199" s="12" t="n">
        <f aca="false">DEGREES(ASIN(MIN(MAX(Inputs!$B$5/Inputs!$B$6*SIN(RADIANS(A199)),-1),1)))</f>
        <v>-3.75787727580123</v>
      </c>
      <c r="D199" s="12" t="n">
        <f aca="false">Inputs!$B$8+Inputs!$B$5*COS(RADIANS(A199))</f>
        <v>-1.11409504069694</v>
      </c>
      <c r="E199" s="12" t="n">
        <f aca="false">Inputs!$B$9+Inputs!$B$5*SIN(RADIANS(A199))</f>
        <v>-0.340613036001988</v>
      </c>
      <c r="F199" s="12" t="n">
        <f aca="false">-Inputs!$B$6*(1-COS(RADIANS(C199)))</f>
        <v>-0.0111739558961769</v>
      </c>
      <c r="G199" s="12" t="n">
        <f aca="false">C199*Inputs!$B$7</f>
        <v>-3.75787727580123</v>
      </c>
      <c r="H199" s="12" t="n">
        <f aca="false">SQRT(D199^2+E199^2)</f>
        <v>1.165</v>
      </c>
    </row>
    <row r="200" customFormat="false" ht="15" hidden="false" customHeight="false" outlineLevel="0" collapsed="false">
      <c r="A200" s="12" t="n">
        <f aca="false">198*Inputs!$B$10*Inputs!$B$7</f>
        <v>198</v>
      </c>
      <c r="B200" s="12" t="n">
        <f aca="false">198*Inputs!$B$10</f>
        <v>198</v>
      </c>
      <c r="C200" s="12" t="n">
        <f aca="false">DEGREES(ASIN(MIN(MAX(Inputs!$B$5/Inputs!$B$6*SIN(RADIANS(A200)),-1),1)))</f>
        <v>-3.97215465488642</v>
      </c>
      <c r="D200" s="12" t="n">
        <f aca="false">Inputs!$B$8+Inputs!$B$5*COS(RADIANS(A200))</f>
        <v>-1.10798084148385</v>
      </c>
      <c r="E200" s="12" t="n">
        <f aca="false">Inputs!$B$9+Inputs!$B$5*SIN(RADIANS(A200))</f>
        <v>-0.360004798446814</v>
      </c>
      <c r="F200" s="12" t="n">
        <f aca="false">-Inputs!$B$6*(1-COS(RADIANS(C200)))</f>
        <v>-0.0124840587480811</v>
      </c>
      <c r="G200" s="12" t="n">
        <f aca="false">C200*Inputs!$B$7</f>
        <v>-3.97215465488642</v>
      </c>
      <c r="H200" s="12" t="n">
        <f aca="false">SQRT(D200^2+E200^2)</f>
        <v>1.165</v>
      </c>
    </row>
    <row r="201" customFormat="false" ht="15" hidden="false" customHeight="false" outlineLevel="0" collapsed="false">
      <c r="A201" s="12" t="n">
        <f aca="false">199*Inputs!$B$10*Inputs!$B$7</f>
        <v>199</v>
      </c>
      <c r="B201" s="12" t="n">
        <f aca="false">199*Inputs!$B$10</f>
        <v>199</v>
      </c>
      <c r="C201" s="12" t="n">
        <f aca="false">DEGREES(ASIN(MIN(MAX(Inputs!$B$5/Inputs!$B$6*SIN(RADIANS(A201)),-1),1)))</f>
        <v>-4.18527547285736</v>
      </c>
      <c r="D201" s="12" t="n">
        <f aca="false">Inputs!$B$8+Inputs!$B$5*COS(RADIANS(A201))</f>
        <v>-1.1015291405732</v>
      </c>
      <c r="E201" s="12" t="n">
        <f aca="false">Inputs!$B$9+Inputs!$B$5*SIN(RADIANS(A201))</f>
        <v>-0.379286899942588</v>
      </c>
      <c r="F201" s="12" t="n">
        <f aca="false">-Inputs!$B$6*(1-COS(RADIANS(C201)))</f>
        <v>-0.0138590172047278</v>
      </c>
      <c r="G201" s="12" t="n">
        <f aca="false">C201*Inputs!$B$7</f>
        <v>-4.18527547285736</v>
      </c>
      <c r="H201" s="12" t="n">
        <f aca="false">SQRT(D201^2+E201^2)</f>
        <v>1.165</v>
      </c>
    </row>
    <row r="202" customFormat="false" ht="15" hidden="false" customHeight="false" outlineLevel="0" collapsed="false">
      <c r="A202" s="12" t="n">
        <f aca="false">200*Inputs!$B$10*Inputs!$B$7</f>
        <v>200</v>
      </c>
      <c r="B202" s="12" t="n">
        <f aca="false">200*Inputs!$B$10</f>
        <v>200</v>
      </c>
      <c r="C202" s="12" t="n">
        <f aca="false">DEGREES(ASIN(MIN(MAX(Inputs!$B$5/Inputs!$B$6*SIN(RADIANS(A202)),-1),1)))</f>
        <v>-4.3971768137195</v>
      </c>
      <c r="D202" s="12" t="n">
        <f aca="false">Inputs!$B$8+Inputs!$B$5*COS(RADIANS(A202))</f>
        <v>-1.09474190321558</v>
      </c>
      <c r="E202" s="12" t="n">
        <f aca="false">Inputs!$B$9+Inputs!$B$5*SIN(RADIANS(A202))</f>
        <v>-0.398453466974404</v>
      </c>
      <c r="F202" s="12" t="n">
        <f aca="false">-Inputs!$B$6*(1-COS(RADIANS(C202)))</f>
        <v>-0.0152972070316422</v>
      </c>
      <c r="G202" s="12" t="n">
        <f aca="false">C202*Inputs!$B$7</f>
        <v>-4.3971768137195</v>
      </c>
      <c r="H202" s="12" t="n">
        <f aca="false">SQRT(D202^2+E202^2)</f>
        <v>1.165</v>
      </c>
    </row>
    <row r="203" customFormat="false" ht="15" hidden="false" customHeight="false" outlineLevel="0" collapsed="false">
      <c r="A203" s="12" t="n">
        <f aca="false">201*Inputs!$B$10*Inputs!$B$7</f>
        <v>201</v>
      </c>
      <c r="B203" s="12" t="n">
        <f aca="false">201*Inputs!$B$10</f>
        <v>201</v>
      </c>
      <c r="C203" s="12" t="n">
        <f aca="false">DEGREES(ASIN(MIN(MAX(Inputs!$B$5/Inputs!$B$6*SIN(RADIANS(A203)),-1),1)))</f>
        <v>-4.60779598662431</v>
      </c>
      <c r="D203" s="12" t="n">
        <f aca="false">Inputs!$B$8+Inputs!$B$5*COS(RADIANS(A203))</f>
        <v>-1.08762119686924</v>
      </c>
      <c r="E203" s="12" t="n">
        <f aca="false">Inputs!$B$9+Inputs!$B$5*SIN(RADIANS(A203))</f>
        <v>-0.417498661220275</v>
      </c>
      <c r="F203" s="12" t="n">
        <f aca="false">-Inputs!$B$6*(1-COS(RADIANS(C203)))</f>
        <v>-0.0167969279304043</v>
      </c>
      <c r="G203" s="12" t="n">
        <f aca="false">C203*Inputs!$B$7</f>
        <v>-4.60779598662431</v>
      </c>
      <c r="H203" s="12" t="n">
        <f aca="false">SQRT(D203^2+E203^2)</f>
        <v>1.165</v>
      </c>
    </row>
    <row r="204" customFormat="false" ht="15" hidden="false" customHeight="false" outlineLevel="0" collapsed="false">
      <c r="A204" s="12" t="n">
        <f aca="false">202*Inputs!$B$10*Inputs!$B$7</f>
        <v>202</v>
      </c>
      <c r="B204" s="12" t="n">
        <f aca="false">202*Inputs!$B$10</f>
        <v>202</v>
      </c>
      <c r="C204" s="12" t="n">
        <f aca="false">DEGREES(ASIN(MIN(MAX(Inputs!$B$5/Inputs!$B$6*SIN(RADIANS(A204)),-1),1)))</f>
        <v>-4.81707053983092</v>
      </c>
      <c r="D204" s="12" t="n">
        <f aca="false">Inputs!$B$8+Inputs!$B$5*COS(RADIANS(A204))</f>
        <v>-1.08016919057031</v>
      </c>
      <c r="E204" s="12" t="n">
        <f aca="false">Inputs!$B$9+Inputs!$B$5*SIN(RADIANS(A204))</f>
        <v>-0.436416681329538</v>
      </c>
      <c r="F204" s="12" t="n">
        <f aca="false">-Inputs!$B$6*(1-COS(RADIANS(C204)))</f>
        <v>-0.0183564053646911</v>
      </c>
      <c r="G204" s="12" t="n">
        <f aca="false">C204*Inputs!$B$7</f>
        <v>-4.81707053983092</v>
      </c>
      <c r="H204" s="12" t="n">
        <f aca="false">SQRT(D204^2+E204^2)</f>
        <v>1.165</v>
      </c>
    </row>
    <row r="205" customFormat="false" ht="15" hidden="false" customHeight="false" outlineLevel="0" collapsed="false">
      <c r="A205" s="12" t="n">
        <f aca="false">203*Inputs!$B$10*Inputs!$B$7</f>
        <v>203</v>
      </c>
      <c r="B205" s="12" t="n">
        <f aca="false">203*Inputs!$B$10</f>
        <v>203</v>
      </c>
      <c r="C205" s="12" t="n">
        <f aca="false">DEGREES(ASIN(MIN(MAX(Inputs!$B$5/Inputs!$B$6*SIN(RADIANS(A205)),-1),1)))</f>
        <v>-5.02493827496936</v>
      </c>
      <c r="D205" s="12" t="n">
        <f aca="false">Inputs!$B$8+Inputs!$B$5*COS(RADIANS(A205))</f>
        <v>-1.07238815427209</v>
      </c>
      <c r="E205" s="12" t="n">
        <f aca="false">Inputs!$B$9+Inputs!$B$5*SIN(RADIANS(A205))</f>
        <v>-0.455201764690004</v>
      </c>
      <c r="F205" s="12" t="n">
        <f aca="false">-Inputs!$B$6*(1-COS(RADIANS(C205)))</f>
        <v>-0.0199737924728347</v>
      </c>
      <c r="G205" s="12" t="n">
        <f aca="false">C205*Inputs!$B$7</f>
        <v>-5.02493827496936</v>
      </c>
      <c r="H205" s="12" t="n">
        <f aca="false">SQRT(D205^2+E205^2)</f>
        <v>1.165</v>
      </c>
    </row>
    <row r="206" customFormat="false" ht="15" hidden="false" customHeight="false" outlineLevel="0" collapsed="false">
      <c r="A206" s="12" t="n">
        <f aca="false">204*Inputs!$B$10*Inputs!$B$7</f>
        <v>204</v>
      </c>
      <c r="B206" s="12" t="n">
        <f aca="false">204*Inputs!$B$10</f>
        <v>204</v>
      </c>
      <c r="C206" s="12" t="n">
        <f aca="false">DEGREES(ASIN(MIN(MAX(Inputs!$B$5/Inputs!$B$6*SIN(RADIANS(A206)),-1),1)))</f>
        <v>-5.23133726161461</v>
      </c>
      <c r="D206" s="12" t="n">
        <f aca="false">Inputs!$B$8+Inputs!$B$5*COS(RADIANS(A206))</f>
        <v>-1.06428045815363</v>
      </c>
      <c r="E206" s="12" t="n">
        <f aca="false">Inputs!$B$9+Inputs!$B$5*SIN(RADIANS(A206))</f>
        <v>-0.473848189183307</v>
      </c>
      <c r="F206" s="12" t="n">
        <f aca="false">-Inputs!$B$6*(1-COS(RADIANS(C206)))</f>
        <v>-0.021647172065686</v>
      </c>
      <c r="G206" s="12" t="n">
        <f aca="false">C206*Inputs!$B$7</f>
        <v>-5.23133726161461</v>
      </c>
      <c r="H206" s="12" t="n">
        <f aca="false">SQRT(D206^2+E206^2)</f>
        <v>1.165</v>
      </c>
    </row>
    <row r="207" customFormat="false" ht="15" hidden="false" customHeight="false" outlineLevel="0" collapsed="false">
      <c r="A207" s="12" t="n">
        <f aca="false">205*Inputs!$B$10*Inputs!$B$7</f>
        <v>205</v>
      </c>
      <c r="B207" s="12" t="n">
        <f aca="false">205*Inputs!$B$10</f>
        <v>205</v>
      </c>
      <c r="C207" s="12" t="n">
        <f aca="false">DEGREES(ASIN(MIN(MAX(Inputs!$B$5/Inputs!$B$6*SIN(RADIANS(A207)),-1),1)))</f>
        <v>-5.43620585217989</v>
      </c>
      <c r="D207" s="12" t="n">
        <f aca="false">Inputs!$B$8+Inputs!$B$5*COS(RADIANS(A207))</f>
        <v>-1.0558485718977</v>
      </c>
      <c r="E207" s="12" t="n">
        <f aca="false">Inputs!$B$9+Inputs!$B$5*SIN(RADIANS(A207))</f>
        <v>-0.492350274927915</v>
      </c>
      <c r="F207" s="12" t="n">
        <f aca="false">-Inputs!$B$6*(1-COS(RADIANS(C207)))</f>
        <v>-0.0233745587085255</v>
      </c>
      <c r="G207" s="12" t="n">
        <f aca="false">C207*Inputs!$B$7</f>
        <v>-5.43620585217989</v>
      </c>
      <c r="H207" s="12" t="n">
        <f aca="false">SQRT(D207^2+E207^2)</f>
        <v>1.165</v>
      </c>
    </row>
    <row r="208" customFormat="false" ht="15" hidden="false" customHeight="false" outlineLevel="0" collapsed="false">
      <c r="A208" s="12" t="n">
        <f aca="false">206*Inputs!$B$10*Inputs!$B$7</f>
        <v>206</v>
      </c>
      <c r="B208" s="12" t="n">
        <f aca="false">206*Inputs!$B$10</f>
        <v>206</v>
      </c>
      <c r="C208" s="12" t="n">
        <f aca="false">DEGREES(ASIN(MIN(MAX(Inputs!$B$5/Inputs!$B$6*SIN(RADIANS(A208)),-1),1)))</f>
        <v>-5.63948269713659</v>
      </c>
      <c r="D208" s="12" t="n">
        <f aca="false">Inputs!$B$8+Inputs!$B$5*COS(RADIANS(A208))</f>
        <v>-1.04709506393853</v>
      </c>
      <c r="E208" s="12" t="n">
        <f aca="false">Inputs!$B$9+Inputs!$B$5*SIN(RADIANS(A208))</f>
        <v>-0.510702386009275</v>
      </c>
      <c r="F208" s="12" t="n">
        <f aca="false">-Inputs!$B$6*(1-COS(RADIANS(C208)))</f>
        <v>-0.0251539008856387</v>
      </c>
      <c r="G208" s="12" t="n">
        <f aca="false">C208*Inputs!$B$7</f>
        <v>-5.63948269713659</v>
      </c>
      <c r="H208" s="12" t="n">
        <f aca="false">SQRT(D208^2+E208^2)</f>
        <v>1.165</v>
      </c>
    </row>
    <row r="209" customFormat="false" ht="15" hidden="false" customHeight="false" outlineLevel="0" collapsed="false">
      <c r="A209" s="12" t="n">
        <f aca="false">207*Inputs!$B$10*Inputs!$B$7</f>
        <v>207</v>
      </c>
      <c r="B209" s="12" t="n">
        <f aca="false">207*Inputs!$B$10</f>
        <v>207</v>
      </c>
      <c r="C209" s="12" t="n">
        <f aca="false">DEGREES(ASIN(MIN(MAX(Inputs!$B$5/Inputs!$B$6*SIN(RADIANS(A209)),-1),1)))</f>
        <v>-5.84110676056737</v>
      </c>
      <c r="D209" s="12" t="n">
        <f aca="false">Inputs!$B$8+Inputs!$B$5*COS(RADIANS(A209))</f>
        <v>-1.03802260067945</v>
      </c>
      <c r="E209" s="12" t="n">
        <f aca="false">Inputs!$B$9+Inputs!$B$5*SIN(RADIANS(A209))</f>
        <v>-0.528898932196571</v>
      </c>
      <c r="F209" s="12" t="n">
        <f aca="false">-Inputs!$B$6*(1-COS(RADIANS(C209)))</f>
        <v>-0.026983083246117</v>
      </c>
      <c r="G209" s="12" t="n">
        <f aca="false">C209*Inputs!$B$7</f>
        <v>-5.84110676056737</v>
      </c>
      <c r="H209" s="12" t="n">
        <f aca="false">SQRT(D209^2+E209^2)</f>
        <v>1.165</v>
      </c>
    </row>
    <row r="210" customFormat="false" ht="15" hidden="false" customHeight="false" outlineLevel="0" collapsed="false">
      <c r="A210" s="12" t="n">
        <f aca="false">208*Inputs!$B$10*Inputs!$B$7</f>
        <v>208</v>
      </c>
      <c r="B210" s="12" t="n">
        <f aca="false">208*Inputs!$B$10</f>
        <v>208</v>
      </c>
      <c r="C210" s="12" t="n">
        <f aca="false">DEGREES(ASIN(MIN(MAX(Inputs!$B$5/Inputs!$B$6*SIN(RADIANS(A210)),-1),1)))</f>
        <v>-6.04101733605791</v>
      </c>
      <c r="D210" s="12" t="n">
        <f aca="false">Inputs!$B$8+Inputs!$B$5*COS(RADIANS(A210))</f>
        <v>-1.02863394568065</v>
      </c>
      <c r="E210" s="12" t="n">
        <f aca="false">Inputs!$B$9+Inputs!$B$5*SIN(RADIANS(A210))</f>
        <v>-0.546934370645562</v>
      </c>
      <c r="F210" s="12" t="n">
        <f aca="false">-Inputs!$B$6*(1-COS(RADIANS(C210)))</f>
        <v>-0.0288599289293111</v>
      </c>
      <c r="G210" s="12" t="n">
        <f aca="false">C210*Inputs!$B$7</f>
        <v>-6.04101733605791</v>
      </c>
      <c r="H210" s="12" t="n">
        <f aca="false">SQRT(D210^2+E210^2)</f>
        <v>1.165</v>
      </c>
    </row>
    <row r="211" customFormat="false" ht="15" hidden="false" customHeight="false" outlineLevel="0" collapsed="false">
      <c r="A211" s="12" t="n">
        <f aca="false">209*Inputs!$B$10*Inputs!$B$7</f>
        <v>209</v>
      </c>
      <c r="B211" s="12" t="n">
        <f aca="false">209*Inputs!$B$10</f>
        <v>209</v>
      </c>
      <c r="C211" s="12" t="n">
        <f aca="false">DEGREES(ASIN(MIN(MAX(Inputs!$B$5/Inputs!$B$6*SIN(RADIANS(A211)),-1),1)))</f>
        <v>-6.23915406293178</v>
      </c>
      <c r="D211" s="12" t="n">
        <f aca="false">Inputs!$B$8+Inputs!$B$5*COS(RADIANS(A211))</f>
        <v>-1.0189319588174</v>
      </c>
      <c r="E211" s="12" t="n">
        <f aca="false">Inputs!$B$9+Inputs!$B$5*SIN(RADIANS(A211))</f>
        <v>-0.564803207586983</v>
      </c>
      <c r="F211" s="12" t="n">
        <f aca="false">-Inputs!$B$6*(1-COS(RADIANS(C211)))</f>
        <v>-0.0307822019683051</v>
      </c>
      <c r="G211" s="12" t="n">
        <f aca="false">C211*Inputs!$B$7</f>
        <v>-6.23915406293178</v>
      </c>
      <c r="H211" s="12" t="n">
        <f aca="false">SQRT(D211^2+E211^2)</f>
        <v>1.165</v>
      </c>
    </row>
    <row r="212" customFormat="false" ht="15" hidden="false" customHeight="false" outlineLevel="0" collapsed="false">
      <c r="A212" s="12" t="n">
        <f aca="false">210*Inputs!$B$10*Inputs!$B$7</f>
        <v>210</v>
      </c>
      <c r="B212" s="12" t="n">
        <f aca="false">210*Inputs!$B$10</f>
        <v>210</v>
      </c>
      <c r="C212" s="12" t="n">
        <f aca="false">DEGREES(ASIN(MIN(MAX(Inputs!$B$5/Inputs!$B$6*SIN(RADIANS(A212)),-1),1)))</f>
        <v>-6.43545694283195</v>
      </c>
      <c r="D212" s="12" t="n">
        <f aca="false">Inputs!$B$8+Inputs!$B$5*COS(RADIANS(A212))</f>
        <v>-1.00891959540887</v>
      </c>
      <c r="E212" s="12" t="n">
        <f aca="false">Inputs!$B$9+Inputs!$B$5*SIN(RADIANS(A212))</f>
        <v>-0.5825</v>
      </c>
      <c r="F212" s="12" t="n">
        <f aca="false">-Inputs!$B$6*(1-COS(RADIANS(C212)))</f>
        <v>-0.0327476097696386</v>
      </c>
      <c r="G212" s="12" t="n">
        <f aca="false">C212*Inputs!$B$7</f>
        <v>-6.43545694283195</v>
      </c>
      <c r="H212" s="12" t="n">
        <f aca="false">SQRT(D212^2+E212^2)</f>
        <v>1.165</v>
      </c>
    </row>
    <row r="213" customFormat="false" ht="15" hidden="false" customHeight="false" outlineLevel="0" collapsed="false">
      <c r="A213" s="12" t="n">
        <f aca="false">211*Inputs!$B$10*Inputs!$B$7</f>
        <v>211</v>
      </c>
      <c r="B213" s="12" t="n">
        <f aca="false">211*Inputs!$B$10</f>
        <v>211</v>
      </c>
      <c r="C213" s="12" t="n">
        <f aca="false">DEGREES(ASIN(MIN(MAX(Inputs!$B$5/Inputs!$B$6*SIN(RADIANS(A213)),-1),1)))</f>
        <v>-6.62986635665113</v>
      </c>
      <c r="D213" s="12" t="n">
        <f aca="false">Inputs!$B$8+Inputs!$B$5*COS(RADIANS(A213))</f>
        <v>-0.998599905317961</v>
      </c>
      <c r="E213" s="12" t="n">
        <f aca="false">Inputs!$B$9+Inputs!$B$5*SIN(RADIANS(A213))</f>
        <v>-0.600019357270213</v>
      </c>
      <c r="F213" s="12" t="n">
        <f aca="false">-Inputs!$B$6*(1-COS(RADIANS(C213)))</f>
        <v>-0.0347538056674357</v>
      </c>
      <c r="G213" s="12" t="n">
        <f aca="false">C213*Inputs!$B$7</f>
        <v>-6.62986635665113</v>
      </c>
      <c r="H213" s="12" t="n">
        <f aca="false">SQRT(D213^2+E213^2)</f>
        <v>1.165</v>
      </c>
    </row>
    <row r="214" customFormat="false" ht="15" hidden="false" customHeight="false" outlineLevel="0" collapsed="false">
      <c r="A214" s="12" t="n">
        <f aca="false">212*Inputs!$B$10*Inputs!$B$7</f>
        <v>212</v>
      </c>
      <c r="B214" s="12" t="n">
        <f aca="false">212*Inputs!$B$10</f>
        <v>212</v>
      </c>
      <c r="C214" s="12" t="n">
        <f aca="false">DEGREES(ASIN(MIN(MAX(Inputs!$B$5/Inputs!$B$6*SIN(RADIANS(A214)),-1),1)))</f>
        <v>-6.82232308181218</v>
      </c>
      <c r="D214" s="12" t="n">
        <f aca="false">Inputs!$B$8+Inputs!$B$5*COS(RADIANS(A214))</f>
        <v>-0.987976032022236</v>
      </c>
      <c r="E214" s="12" t="n">
        <f aca="false">Inputs!$B$9+Inputs!$B$5*SIN(RADIANS(A214))</f>
        <v>-0.617355942831684</v>
      </c>
      <c r="F214" s="12" t="n">
        <f aca="false">-Inputs!$B$6*(1-COS(RADIANS(C214)))</f>
        <v>-0.0367983915499578</v>
      </c>
      <c r="G214" s="12" t="n">
        <f aca="false">C214*Inputs!$B$7</f>
        <v>-6.82232308181218</v>
      </c>
      <c r="H214" s="12" t="n">
        <f aca="false">SQRT(D214^2+E214^2)</f>
        <v>1.165</v>
      </c>
    </row>
    <row r="215" customFormat="false" ht="15" hidden="false" customHeight="false" outlineLevel="0" collapsed="false">
      <c r="A215" s="12" t="n">
        <f aca="false">213*Inputs!$B$10*Inputs!$B$7</f>
        <v>213</v>
      </c>
      <c r="B215" s="12" t="n">
        <f aca="false">213*Inputs!$B$10</f>
        <v>213</v>
      </c>
      <c r="C215" s="12" t="n">
        <f aca="false">DEGREES(ASIN(MIN(MAX(Inputs!$B$5/Inputs!$B$6*SIN(RADIANS(A215)),-1),1)))</f>
        <v>-7.01276830989849</v>
      </c>
      <c r="D215" s="12" t="n">
        <f aca="false">Inputs!$B$8+Inputs!$B$5*COS(RADIANS(A215))</f>
        <v>-0.977051211656419</v>
      </c>
      <c r="E215" s="12" t="n">
        <f aca="false">Inputs!$B$9+Inputs!$B$5*SIN(RADIANS(A215))</f>
        <v>-0.634504475792507</v>
      </c>
      <c r="F215" s="12" t="n">
        <f aca="false">-Inputs!$B$6*(1-COS(RADIANS(C215)))</f>
        <v>-0.0388789205565098</v>
      </c>
      <c r="G215" s="12" t="n">
        <f aca="false">C215*Inputs!$B$7</f>
        <v>-7.01276830989849</v>
      </c>
      <c r="H215" s="12" t="n">
        <f aca="false">SQRT(D215^2+E215^2)</f>
        <v>1.165</v>
      </c>
    </row>
    <row r="216" customFormat="false" ht="15" hidden="false" customHeight="false" outlineLevel="0" collapsed="false">
      <c r="A216" s="12" t="n">
        <f aca="false">214*Inputs!$B$10*Inputs!$B$7</f>
        <v>214</v>
      </c>
      <c r="B216" s="12" t="n">
        <f aca="false">214*Inputs!$B$10</f>
        <v>214</v>
      </c>
      <c r="C216" s="12" t="n">
        <f aca="false">DEGREES(ASIN(MIN(MAX(Inputs!$B$5/Inputs!$B$6*SIN(RADIANS(A216)),-1),1)))</f>
        <v>-7.20114366463325</v>
      </c>
      <c r="D216" s="12" t="n">
        <f aca="false">Inputs!$B$8+Inputs!$B$5*COS(RADIANS(A216))</f>
        <v>-0.965828772026624</v>
      </c>
      <c r="E216" s="12" t="n">
        <f aca="false">Inputs!$B$9+Inputs!$B$5*SIN(RADIANS(A216))</f>
        <v>-0.65145973254342</v>
      </c>
      <c r="F216" s="12" t="n">
        <f aca="false">-Inputs!$B$6*(1-COS(RADIANS(C216)))</f>
        <v>-0.0409928998425095</v>
      </c>
      <c r="G216" s="12" t="n">
        <f aca="false">C216*Inputs!$B$7</f>
        <v>-7.20114366463325</v>
      </c>
      <c r="H216" s="12" t="n">
        <f aca="false">SQRT(D216^2+E216^2)</f>
        <v>1.165</v>
      </c>
    </row>
    <row r="217" customFormat="false" ht="15" hidden="false" customHeight="false" outlineLevel="0" collapsed="false">
      <c r="A217" s="12" t="n">
        <f aca="false">215*Inputs!$B$10*Inputs!$B$7</f>
        <v>215</v>
      </c>
      <c r="B217" s="12" t="n">
        <f aca="false">215*Inputs!$B$10</f>
        <v>215</v>
      </c>
      <c r="C217" s="12" t="n">
        <f aca="false">DEGREES(ASIN(MIN(MAX(Inputs!$B$5/Inputs!$B$6*SIN(RADIANS(A217)),-1),1)))</f>
        <v>-7.38739122020505</v>
      </c>
      <c r="D217" s="12" t="n">
        <f aca="false">Inputs!$B$8+Inputs!$B$5*COS(RADIANS(A217))</f>
        <v>-0.954312131596676</v>
      </c>
      <c r="E217" s="12" t="n">
        <f aca="false">Inputs!$B$9+Inputs!$B$5*SIN(RADIANS(A217))</f>
        <v>-0.668216548348968</v>
      </c>
      <c r="F217" s="12" t="n">
        <f aca="false">-Inputs!$B$6*(1-COS(RADIANS(C217)))</f>
        <v>-0.0431377934104029</v>
      </c>
      <c r="G217" s="12" t="n">
        <f aca="false">C217*Inputs!$B$7</f>
        <v>-7.38739122020505</v>
      </c>
      <c r="H217" s="12" t="n">
        <f aca="false">SQRT(D217^2+E217^2)</f>
        <v>1.165</v>
      </c>
    </row>
    <row r="218" customFormat="false" ht="15" hidden="false" customHeight="false" outlineLevel="0" collapsed="false">
      <c r="A218" s="12" t="n">
        <f aca="false">216*Inputs!$B$10*Inputs!$B$7</f>
        <v>216</v>
      </c>
      <c r="B218" s="12" t="n">
        <f aca="false">216*Inputs!$B$10</f>
        <v>216</v>
      </c>
      <c r="C218" s="12" t="n">
        <f aca="false">DEGREES(ASIN(MIN(MAX(Inputs!$B$5/Inputs!$B$6*SIN(RADIANS(A218)),-1),1)))</f>
        <v>-7.57145351993605</v>
      </c>
      <c r="D218" s="12" t="n">
        <f aca="false">Inputs!$B$8+Inputs!$B$5*COS(RADIANS(A218))</f>
        <v>-0.942504798446814</v>
      </c>
      <c r="E218" s="12" t="n">
        <f aca="false">Inputs!$B$9+Inputs!$B$5*SIN(RADIANS(A218))</f>
        <v>-0.684769818920731</v>
      </c>
      <c r="F218" s="12" t="n">
        <f aca="false">-Inputs!$B$6*(1-COS(RADIANS(C218)))</f>
        <v>-0.0453110250040064</v>
      </c>
      <c r="G218" s="12" t="n">
        <f aca="false">C218*Inputs!$B$7</f>
        <v>-7.57145351993605</v>
      </c>
      <c r="H218" s="12" t="n">
        <f aca="false">SQRT(D218^2+E218^2)</f>
        <v>1.165</v>
      </c>
    </row>
    <row r="219" customFormat="false" ht="15" hidden="false" customHeight="false" outlineLevel="0" collapsed="false">
      <c r="A219" s="12" t="n">
        <f aca="false">217*Inputs!$B$10*Inputs!$B$7</f>
        <v>217</v>
      </c>
      <c r="B219" s="12" t="n">
        <f aca="false">217*Inputs!$B$10</f>
        <v>217</v>
      </c>
      <c r="C219" s="12" t="n">
        <f aca="false">DEGREES(ASIN(MIN(MAX(Inputs!$B$5/Inputs!$B$6*SIN(RADIANS(A219)),-1),1)))</f>
        <v>-7.75327359528779</v>
      </c>
      <c r="D219" s="12" t="n">
        <f aca="false">Inputs!$B$8+Inputs!$B$5*COS(RADIANS(A219))</f>
        <v>-0.930410369205097</v>
      </c>
      <c r="E219" s="12" t="n">
        <f aca="false">Inputs!$B$9+Inputs!$B$5*SIN(RADIANS(A219))</f>
        <v>-0.701114501972136</v>
      </c>
      <c r="F219" s="12" t="n">
        <f aca="false">-Inputs!$B$6*(1-COS(RADIANS(C219)))</f>
        <v>-0.0475099810637207</v>
      </c>
      <c r="G219" s="12" t="n">
        <f aca="false">C219*Inputs!$B$7</f>
        <v>-7.75327359528779</v>
      </c>
      <c r="H219" s="12" t="n">
        <f aca="false">SQRT(D219^2+E219^2)</f>
        <v>1.165</v>
      </c>
    </row>
    <row r="220" customFormat="false" ht="15" hidden="false" customHeight="false" outlineLevel="0" collapsed="false">
      <c r="A220" s="12" t="n">
        <f aca="false">218*Inputs!$B$10*Inputs!$B$7</f>
        <v>218</v>
      </c>
      <c r="B220" s="12" t="n">
        <f aca="false">218*Inputs!$B$10</f>
        <v>218</v>
      </c>
      <c r="C220" s="12" t="n">
        <f aca="false">DEGREES(ASIN(MIN(MAX(Inputs!$B$5/Inputs!$B$6*SIN(RADIANS(A220)),-1),1)))</f>
        <v>-7.93279498519818</v>
      </c>
      <c r="D220" s="12" t="n">
        <f aca="false">Inputs!$B$8+Inputs!$B$5*COS(RADIANS(A220))</f>
        <v>-0.918032527951831</v>
      </c>
      <c r="E220" s="12" t="n">
        <f aca="false">Inputs!$B$9+Inputs!$B$5*SIN(RADIANS(A220))</f>
        <v>-0.717245618754391</v>
      </c>
      <c r="F220" s="12" t="n">
        <f aca="false">-Inputs!$B$6*(1-COS(RADIANS(C220)))</f>
        <v>-0.049732013739946</v>
      </c>
      <c r="G220" s="12" t="n">
        <f aca="false">C220*Inputs!$B$7</f>
        <v>-7.93279498519818</v>
      </c>
      <c r="H220" s="12" t="n">
        <f aca="false">SQRT(D220^2+E220^2)</f>
        <v>1.165</v>
      </c>
    </row>
    <row r="221" customFormat="false" ht="15" hidden="false" customHeight="false" outlineLevel="0" collapsed="false">
      <c r="A221" s="12" t="n">
        <f aca="false">219*Inputs!$B$10*Inputs!$B$7</f>
        <v>219</v>
      </c>
      <c r="B221" s="12" t="n">
        <f aca="false">219*Inputs!$B$10</f>
        <v>219</v>
      </c>
      <c r="C221" s="12" t="n">
        <f aca="false">DEGREES(ASIN(MIN(MAX(Inputs!$B$5/Inputs!$B$6*SIN(RADIANS(A221)),-1),1)))</f>
        <v>-8.109961755742</v>
      </c>
      <c r="D221" s="12" t="n">
        <f aca="false">Inputs!$B$8+Inputs!$B$5*COS(RADIANS(A221))</f>
        <v>-0.905375045097371</v>
      </c>
      <c r="E221" s="12" t="n">
        <f aca="false">Inputs!$B$9+Inputs!$B$5*SIN(RADIANS(A221))</f>
        <v>-0.73315825557306</v>
      </c>
      <c r="F221" s="12" t="n">
        <f aca="false">-Inputs!$B$6*(1-COS(RADIANS(C221)))</f>
        <v>-0.051974443961909</v>
      </c>
      <c r="G221" s="12" t="n">
        <f aca="false">C221*Inputs!$B$7</f>
        <v>-8.109961755742</v>
      </c>
      <c r="H221" s="12" t="n">
        <f aca="false">SQRT(D221^2+E221^2)</f>
        <v>1.165</v>
      </c>
    </row>
    <row r="222" customFormat="false" ht="15" hidden="false" customHeight="false" outlineLevel="0" collapsed="false">
      <c r="A222" s="12" t="n">
        <f aca="false">220*Inputs!$B$10*Inputs!$B$7</f>
        <v>220</v>
      </c>
      <c r="B222" s="12" t="n">
        <f aca="false">220*Inputs!$B$10</f>
        <v>220</v>
      </c>
      <c r="C222" s="12" t="n">
        <f aca="false">DEGREES(ASIN(MIN(MAX(Inputs!$B$5/Inputs!$B$6*SIN(RADIANS(A222)),-1),1)))</f>
        <v>-8.28471852010586</v>
      </c>
      <c r="D222" s="12" t="n">
        <f aca="false">Inputs!$B$8+Inputs!$B$5*COS(RADIANS(A222))</f>
        <v>-0.892441776233609</v>
      </c>
      <c r="E222" s="12" t="n">
        <f aca="false">Inputs!$B$9+Inputs!$B$5*SIN(RADIANS(A222))</f>
        <v>-0.748847565284818</v>
      </c>
      <c r="F222" s="12" t="n">
        <f aca="false">-Inputs!$B$6*(1-COS(RADIANS(C222)))</f>
        <v>-0.054234564558967</v>
      </c>
      <c r="G222" s="12" t="n">
        <f aca="false">C222*Inputs!$B$7</f>
        <v>-8.28471852010586</v>
      </c>
      <c r="H222" s="12" t="n">
        <f aca="false">SQRT(D222^2+E222^2)</f>
        <v>1.165</v>
      </c>
    </row>
    <row r="223" customFormat="false" ht="15" hidden="false" customHeight="false" outlineLevel="0" collapsed="false">
      <c r="A223" s="12" t="n">
        <f aca="false">221*Inputs!$B$10*Inputs!$B$7</f>
        <v>221</v>
      </c>
      <c r="B223" s="12" t="n">
        <f aca="false">221*Inputs!$B$10</f>
        <v>221</v>
      </c>
      <c r="C223" s="12" t="n">
        <f aca="false">DEGREES(ASIN(MIN(MAX(Inputs!$B$5/Inputs!$B$6*SIN(RADIANS(A223)),-1),1)))</f>
        <v>-8.45701045886715</v>
      </c>
      <c r="D223" s="12" t="n">
        <f aca="false">Inputs!$B$8+Inputs!$B$5*COS(RADIANS(A223))</f>
        <v>-0.879236660959529</v>
      </c>
      <c r="E223" s="12" t="n">
        <f aca="false">Inputs!$B$9+Inputs!$B$5*SIN(RADIANS(A223))</f>
        <v>-0.764308768773941</v>
      </c>
      <c r="F223" s="12" t="n">
        <f aca="false">-Inputs!$B$6*(1-COS(RADIANS(C223)))</f>
        <v>-0.0565096434313526</v>
      </c>
      <c r="G223" s="12" t="n">
        <f aca="false">C223*Inputs!$B$7</f>
        <v>-8.45701045886715</v>
      </c>
      <c r="H223" s="12" t="n">
        <f aca="false">SQRT(D223^2+E223^2)</f>
        <v>1.165</v>
      </c>
    </row>
    <row r="224" customFormat="false" ht="15" hidden="false" customHeight="false" outlineLevel="0" collapsed="false">
      <c r="A224" s="12" t="n">
        <f aca="false">222*Inputs!$B$10*Inputs!$B$7</f>
        <v>222</v>
      </c>
      <c r="B224" s="12" t="n">
        <f aca="false">222*Inputs!$B$10</f>
        <v>222</v>
      </c>
      <c r="C224" s="12" t="n">
        <f aca="false">DEGREES(ASIN(MIN(MAX(Inputs!$B$5/Inputs!$B$6*SIN(RADIANS(A224)),-1),1)))</f>
        <v>-8.62678334056514</v>
      </c>
      <c r="D224" s="12" t="n">
        <f aca="false">Inputs!$B$8+Inputs!$B$5*COS(RADIANS(A224))</f>
        <v>-0.865763721681164</v>
      </c>
      <c r="E224" s="12" t="n">
        <f aca="false">Inputs!$B$9+Inputs!$B$5*SIN(RADIANS(A224))</f>
        <v>-0.77953715640807</v>
      </c>
      <c r="F224" s="12" t="n">
        <f aca="false">-Inputs!$B$6*(1-COS(RADIANS(C224)))</f>
        <v>-0.0587969267671778</v>
      </c>
      <c r="G224" s="12" t="n">
        <f aca="false">C224*Inputs!$B$7</f>
        <v>-8.62678334056514</v>
      </c>
      <c r="H224" s="12" t="n">
        <f aca="false">SQRT(D224^2+E224^2)</f>
        <v>1.165</v>
      </c>
    </row>
    <row r="225" customFormat="false" ht="15" hidden="false" customHeight="false" outlineLevel="0" collapsed="false">
      <c r="A225" s="12" t="n">
        <f aca="false">223*Inputs!$B$10*Inputs!$B$7</f>
        <v>223</v>
      </c>
      <c r="B225" s="12" t="n">
        <f aca="false">223*Inputs!$B$10</f>
        <v>223</v>
      </c>
      <c r="C225" s="12" t="n">
        <f aca="false">DEGREES(ASIN(MIN(MAX(Inputs!$B$5/Inputs!$B$6*SIN(RADIANS(A225)),-1),1)))</f>
        <v>-8.79398354255097</v>
      </c>
      <c r="D225" s="12" t="n">
        <f aca="false">Inputs!$B$8+Inputs!$B$5*COS(RADIANS(A225))</f>
        <v>-0.852027062386334</v>
      </c>
      <c r="E225" s="12" t="n">
        <f aca="false">Inputs!$B$9+Inputs!$B$5*SIN(RADIANS(A225))</f>
        <v>-0.794528089472811</v>
      </c>
      <c r="F225" s="12" t="n">
        <f aca="false">-Inputs!$B$6*(1-COS(RADIANS(C225)))</f>
        <v>-0.0610936423023944</v>
      </c>
      <c r="G225" s="12" t="n">
        <f aca="false">C225*Inputs!$B$7</f>
        <v>-8.79398354255097</v>
      </c>
      <c r="H225" s="12" t="n">
        <f aca="false">SQRT(D225^2+E225^2)</f>
        <v>1.165</v>
      </c>
    </row>
    <row r="226" customFormat="false" ht="15" hidden="false" customHeight="false" outlineLevel="0" collapsed="false">
      <c r="A226" s="12" t="n">
        <f aca="false">224*Inputs!$B$10*Inputs!$B$7</f>
        <v>224</v>
      </c>
      <c r="B226" s="12" t="n">
        <f aca="false">224*Inputs!$B$10</f>
        <v>224</v>
      </c>
      <c r="C226" s="12" t="n">
        <f aca="false">DEGREES(ASIN(MIN(MAX(Inputs!$B$5/Inputs!$B$6*SIN(RADIANS(A226)),-1),1)))</f>
        <v>-8.95855807210191</v>
      </c>
      <c r="D226" s="12" t="n">
        <f aca="false">Inputs!$B$8+Inputs!$B$5*COS(RADIANS(A226))</f>
        <v>-0.838030867394529</v>
      </c>
      <c r="E226" s="12" t="n">
        <f aca="false">Inputs!$B$9+Inputs!$B$5*SIN(RADIANS(A226))</f>
        <v>-0.809277001584732</v>
      </c>
      <c r="F226" s="12" t="n">
        <f aca="false">-Inputs!$B$6*(1-COS(RADIANS(C226)))</f>
        <v>-0.0633970026202821</v>
      </c>
      <c r="G226" s="12" t="n">
        <f aca="false">C226*Inputs!$B$7</f>
        <v>-8.95855807210191</v>
      </c>
      <c r="H226" s="12" t="n">
        <f aca="false">SQRT(D226^2+E226^2)</f>
        <v>1.165</v>
      </c>
    </row>
    <row r="227" customFormat="false" ht="15" hidden="false" customHeight="false" outlineLevel="0" collapsed="false">
      <c r="A227" s="12" t="n">
        <f aca="false">225*Inputs!$B$10*Inputs!$B$7</f>
        <v>225</v>
      </c>
      <c r="B227" s="12" t="n">
        <f aca="false">225*Inputs!$B$10</f>
        <v>225</v>
      </c>
      <c r="C227" s="12" t="n">
        <f aca="false">DEGREES(ASIN(MIN(MAX(Inputs!$B$5/Inputs!$B$6*SIN(RADIANS(A227)),-1),1)))</f>
        <v>-9.12045458778378</v>
      </c>
      <c r="D227" s="12" t="n">
        <f aca="false">Inputs!$B$8+Inputs!$B$5*COS(RADIANS(A227))</f>
        <v>-0.823779400082328</v>
      </c>
      <c r="E227" s="12" t="n">
        <f aca="false">Inputs!$B$9+Inputs!$B$5*SIN(RADIANS(A227))</f>
        <v>-0.823779400082328</v>
      </c>
      <c r="F227" s="12" t="n">
        <f aca="false">-Inputs!$B$6*(1-COS(RADIANS(C227)))</f>
        <v>-0.065704208486905</v>
      </c>
      <c r="G227" s="12" t="n">
        <f aca="false">C227*Inputs!$B$7</f>
        <v>-9.12045458778378</v>
      </c>
      <c r="H227" s="12" t="n">
        <f aca="false">SQRT(D227^2+E227^2)</f>
        <v>1.165</v>
      </c>
    </row>
    <row r="228" customFormat="false" ht="15" hidden="false" customHeight="false" outlineLevel="0" collapsed="false">
      <c r="A228" s="12" t="n">
        <f aca="false">226*Inputs!$B$10*Inputs!$B$7</f>
        <v>226</v>
      </c>
      <c r="B228" s="12" t="n">
        <f aca="false">226*Inputs!$B$10</f>
        <v>226</v>
      </c>
      <c r="C228" s="12" t="n">
        <f aca="false">DEGREES(ASIN(MIN(MAX(Inputs!$B$5/Inputs!$B$6*SIN(RADIANS(A228)),-1),1)))</f>
        <v>-9.27962142104417</v>
      </c>
      <c r="D228" s="12" t="n">
        <f aca="false">Inputs!$B$8+Inputs!$B$5*COS(RADIANS(A228))</f>
        <v>-0.809277001584732</v>
      </c>
      <c r="E228" s="12" t="n">
        <f aca="false">Inputs!$B$9+Inputs!$B$5*SIN(RADIANS(A228))</f>
        <v>-0.838030867394528</v>
      </c>
      <c r="F228" s="12" t="n">
        <f aca="false">-Inputs!$B$6*(1-COS(RADIANS(C228)))</f>
        <v>-0.0680124522188619</v>
      </c>
      <c r="G228" s="12" t="n">
        <f aca="false">C228*Inputs!$B$7</f>
        <v>-9.27962142104417</v>
      </c>
      <c r="H228" s="12" t="n">
        <f aca="false">SQRT(D228^2+E228^2)</f>
        <v>1.165</v>
      </c>
    </row>
    <row r="229" customFormat="false" ht="15" hidden="false" customHeight="false" outlineLevel="0" collapsed="false">
      <c r="A229" s="12" t="n">
        <f aca="false">227*Inputs!$B$10*Inputs!$B$7</f>
        <v>227</v>
      </c>
      <c r="B229" s="12" t="n">
        <f aca="false">227*Inputs!$B$10</f>
        <v>227</v>
      </c>
      <c r="C229" s="12" t="n">
        <f aca="false">DEGREES(ASIN(MIN(MAX(Inputs!$B$5/Inputs!$B$6*SIN(RADIANS(A229)),-1),1)))</f>
        <v>-9.43600759801749</v>
      </c>
      <c r="D229" s="12" t="n">
        <f aca="false">Inputs!$B$8+Inputs!$B$5*COS(RADIANS(A229))</f>
        <v>-0.794528089472811</v>
      </c>
      <c r="E229" s="12" t="n">
        <f aca="false">Inputs!$B$9+Inputs!$B$5*SIN(RADIANS(A229))</f>
        <v>-0.852027062386334</v>
      </c>
      <c r="F229" s="12" t="n">
        <f aca="false">-Inputs!$B$6*(1-COS(RADIANS(C229)))</f>
        <v>-0.0703189210795145</v>
      </c>
      <c r="G229" s="12" t="n">
        <f aca="false">C229*Inputs!$B$7</f>
        <v>-9.43600759801749</v>
      </c>
      <c r="H229" s="12" t="n">
        <f aca="false">SQRT(D229^2+E229^2)</f>
        <v>1.165</v>
      </c>
    </row>
    <row r="230" customFormat="false" ht="15" hidden="false" customHeight="false" outlineLevel="0" collapsed="false">
      <c r="A230" s="12" t="n">
        <f aca="false">228*Inputs!$B$10*Inputs!$B$7</f>
        <v>228</v>
      </c>
      <c r="B230" s="12" t="n">
        <f aca="false">228*Inputs!$B$10</f>
        <v>228</v>
      </c>
      <c r="C230" s="12" t="n">
        <f aca="false">DEGREES(ASIN(MIN(MAX(Inputs!$B$5/Inputs!$B$6*SIN(RADIANS(A230)),-1),1)))</f>
        <v>-9.58956286152171</v>
      </c>
      <c r="D230" s="12" t="n">
        <f aca="false">Inputs!$B$8+Inputs!$B$5*COS(RADIANS(A230))</f>
        <v>-0.77953715640807</v>
      </c>
      <c r="E230" s="12" t="n">
        <f aca="false">Inputs!$B$9+Inputs!$B$5*SIN(RADIANS(A230))</f>
        <v>-0.865763721681164</v>
      </c>
      <c r="F230" s="12" t="n">
        <f aca="false">-Inputs!$B$6*(1-COS(RADIANS(C230)))</f>
        <v>-0.0726208006997784</v>
      </c>
      <c r="G230" s="12" t="n">
        <f aca="false">C230*Inputs!$B$7</f>
        <v>-9.58956286152171</v>
      </c>
      <c r="H230" s="12" t="n">
        <f aca="false">SQRT(D230^2+E230^2)</f>
        <v>1.165</v>
      </c>
    </row>
    <row r="231" customFormat="false" ht="15" hidden="false" customHeight="false" outlineLevel="0" collapsed="false">
      <c r="A231" s="12" t="n">
        <f aca="false">229*Inputs!$B$10*Inputs!$B$7</f>
        <v>229</v>
      </c>
      <c r="B231" s="12" t="n">
        <f aca="false">229*Inputs!$B$10</f>
        <v>229</v>
      </c>
      <c r="C231" s="12" t="n">
        <f aca="false">DEGREES(ASIN(MIN(MAX(Inputs!$B$5/Inputs!$B$6*SIN(RADIANS(A231)),-1),1)))</f>
        <v>-9.74023769322511</v>
      </c>
      <c r="D231" s="12" t="n">
        <f aca="false">Inputs!$B$8+Inputs!$B$5*COS(RADIANS(A231))</f>
        <v>-0.764308768773941</v>
      </c>
      <c r="E231" s="12" t="n">
        <f aca="false">Inputs!$B$9+Inputs!$B$5*SIN(RADIANS(A231))</f>
        <v>-0.879236660959529</v>
      </c>
      <c r="F231" s="12" t="n">
        <f aca="false">-Inputs!$B$6*(1-COS(RADIANS(C231)))</f>
        <v>-0.074915278519425</v>
      </c>
      <c r="G231" s="12" t="n">
        <f aca="false">C231*Inputs!$B$7</f>
        <v>-9.74023769322511</v>
      </c>
      <c r="H231" s="12" t="n">
        <f aca="false">SQRT(D231^2+E231^2)</f>
        <v>1.165</v>
      </c>
    </row>
    <row r="232" customFormat="false" ht="15" hidden="false" customHeight="false" outlineLevel="0" collapsed="false">
      <c r="A232" s="12" t="n">
        <f aca="false">230*Inputs!$B$10*Inputs!$B$7</f>
        <v>230</v>
      </c>
      <c r="B232" s="12" t="n">
        <f aca="false">230*Inputs!$B$10</f>
        <v>230</v>
      </c>
      <c r="C232" s="12" t="n">
        <f aca="false">DEGREES(ASIN(MIN(MAX(Inputs!$B$5/Inputs!$B$6*SIN(RADIANS(A232)),-1),1)))</f>
        <v>-9.88798333596029</v>
      </c>
      <c r="D232" s="12" t="n">
        <f aca="false">Inputs!$B$8+Inputs!$B$5*COS(RADIANS(A232))</f>
        <v>-0.748847565284819</v>
      </c>
      <c r="E232" s="12" t="n">
        <f aca="false">Inputs!$B$9+Inputs!$B$5*SIN(RADIANS(A232))</f>
        <v>-0.892441776233609</v>
      </c>
      <c r="F232" s="12" t="n">
        <f aca="false">-Inputs!$B$6*(1-COS(RADIANS(C232)))</f>
        <v>-0.0771995472447364</v>
      </c>
      <c r="G232" s="12" t="n">
        <f aca="false">C232*Inputs!$B$7</f>
        <v>-9.88798333596029</v>
      </c>
      <c r="H232" s="12" t="n">
        <f aca="false">SQRT(D232^2+E232^2)</f>
        <v>1.165</v>
      </c>
    </row>
    <row r="233" customFormat="false" ht="15" hidden="false" customHeight="false" outlineLevel="0" collapsed="false">
      <c r="A233" s="12" t="n">
        <f aca="false">231*Inputs!$B$10*Inputs!$B$7</f>
        <v>231</v>
      </c>
      <c r="B233" s="12" t="n">
        <f aca="false">231*Inputs!$B$10</f>
        <v>231</v>
      </c>
      <c r="C233" s="12" t="n">
        <f aca="false">DEGREES(ASIN(MIN(MAX(Inputs!$B$5/Inputs!$B$6*SIN(RADIANS(A233)),-1),1)))</f>
        <v>-10.0327518161609</v>
      </c>
      <c r="D233" s="12" t="n">
        <f aca="false">Inputs!$B$8+Inputs!$B$5*COS(RADIANS(A233))</f>
        <v>-0.73315825557306</v>
      </c>
      <c r="E233" s="12" t="n">
        <f aca="false">Inputs!$B$9+Inputs!$B$5*SIN(RADIANS(A233))</f>
        <v>-0.905375045097371</v>
      </c>
      <c r="F233" s="12" t="n">
        <f aca="false">-Inputs!$B$6*(1-COS(RADIANS(C233)))</f>
        <v>-0.0794708083182435</v>
      </c>
      <c r="G233" s="12" t="n">
        <f aca="false">C233*Inputs!$B$7</f>
        <v>-10.0327518161609</v>
      </c>
      <c r="H233" s="12" t="n">
        <f aca="false">SQRT(D233^2+E233^2)</f>
        <v>1.165</v>
      </c>
    </row>
    <row r="234" customFormat="false" ht="15" hidden="false" customHeight="false" outlineLevel="0" collapsed="false">
      <c r="A234" s="12" t="n">
        <f aca="false">232*Inputs!$B$10*Inputs!$B$7</f>
        <v>232</v>
      </c>
      <c r="B234" s="12" t="n">
        <f aca="false">232*Inputs!$B$10</f>
        <v>232</v>
      </c>
      <c r="C234" s="12" t="n">
        <f aca="false">DEGREES(ASIN(MIN(MAX(Inputs!$B$5/Inputs!$B$6*SIN(RADIANS(A234)),-1),1)))</f>
        <v>-10.174495966396</v>
      </c>
      <c r="D234" s="12" t="n">
        <f aca="false">Inputs!$B$8+Inputs!$B$5*COS(RADIANS(A234))</f>
        <v>-0.717245618754392</v>
      </c>
      <c r="E234" s="12" t="n">
        <f aca="false">Inputs!$B$9+Inputs!$B$5*SIN(RADIANS(A234))</f>
        <v>-0.918032527951831</v>
      </c>
      <c r="F234" s="12" t="n">
        <f aca="false">-Inputs!$B$6*(1-COS(RADIANS(C234)))</f>
        <v>-0.0817262753961668</v>
      </c>
      <c r="G234" s="12" t="n">
        <f aca="false">C234*Inputs!$B$7</f>
        <v>-10.174495966396</v>
      </c>
      <c r="H234" s="12" t="n">
        <f aca="false">SQRT(D234^2+E234^2)</f>
        <v>1.165</v>
      </c>
    </row>
    <row r="235" customFormat="false" ht="15" hidden="false" customHeight="false" outlineLevel="0" collapsed="false">
      <c r="A235" s="12" t="n">
        <f aca="false">233*Inputs!$B$10*Inputs!$B$7</f>
        <v>233</v>
      </c>
      <c r="B235" s="12" t="n">
        <f aca="false">233*Inputs!$B$10</f>
        <v>233</v>
      </c>
      <c r="C235" s="12" t="n">
        <f aca="false">DEGREES(ASIN(MIN(MAX(Inputs!$B$5/Inputs!$B$6*SIN(RADIANS(A235)),-1),1)))</f>
        <v>-10.3131694479746</v>
      </c>
      <c r="D235" s="12" t="n">
        <f aca="false">Inputs!$B$8+Inputs!$B$5*COS(RADIANS(A235))</f>
        <v>-0.701114501972136</v>
      </c>
      <c r="E235" s="12" t="n">
        <f aca="false">Inputs!$B$9+Inputs!$B$5*SIN(RADIANS(A235))</f>
        <v>-0.930410369205096</v>
      </c>
      <c r="F235" s="12" t="n">
        <f aca="false">-Inputs!$B$6*(1-COS(RADIANS(C235)))</f>
        <v>-0.0839631778290863</v>
      </c>
      <c r="G235" s="12" t="n">
        <f aca="false">C235*Inputs!$B$7</f>
        <v>-10.3131694479746</v>
      </c>
      <c r="H235" s="12" t="n">
        <f aca="false">SQRT(D235^2+E235^2)</f>
        <v>1.165</v>
      </c>
    </row>
    <row r="236" customFormat="false" ht="15" hidden="false" customHeight="false" outlineLevel="0" collapsed="false">
      <c r="A236" s="12" t="n">
        <f aca="false">234*Inputs!$B$10*Inputs!$B$7</f>
        <v>234</v>
      </c>
      <c r="B236" s="12" t="n">
        <f aca="false">234*Inputs!$B$10</f>
        <v>234</v>
      </c>
      <c r="C236" s="12" t="n">
        <f aca="false">DEGREES(ASIN(MIN(MAX(Inputs!$B$5/Inputs!$B$6*SIN(RADIANS(A236)),-1),1)))</f>
        <v>-10.4487267735937</v>
      </c>
      <c r="D236" s="12" t="n">
        <f aca="false">Inputs!$B$8+Inputs!$B$5*COS(RADIANS(A236))</f>
        <v>-0.684769818920731</v>
      </c>
      <c r="E236" s="12" t="n">
        <f aca="false">Inputs!$B$9+Inputs!$B$5*SIN(RADIANS(A236))</f>
        <v>-0.942504798446814</v>
      </c>
      <c r="F236" s="12" t="n">
        <f aca="false">-Inputs!$B$6*(1-COS(RADIANS(C236)))</f>
        <v>-0.0861787641412527</v>
      </c>
      <c r="G236" s="12" t="n">
        <f aca="false">C236*Inputs!$B$7</f>
        <v>-10.4487267735937</v>
      </c>
      <c r="H236" s="12" t="n">
        <f aca="false">SQRT(D236^2+E236^2)</f>
        <v>1.165</v>
      </c>
    </row>
    <row r="237" customFormat="false" ht="15" hidden="false" customHeight="false" outlineLevel="0" collapsed="false">
      <c r="A237" s="12" t="n">
        <f aca="false">235*Inputs!$B$10*Inputs!$B$7</f>
        <v>235</v>
      </c>
      <c r="B237" s="12" t="n">
        <f aca="false">235*Inputs!$B$10</f>
        <v>235</v>
      </c>
      <c r="C237" s="12" t="n">
        <f aca="false">DEGREES(ASIN(MIN(MAX(Inputs!$B$5/Inputs!$B$6*SIN(RADIANS(A237)),-1),1)))</f>
        <v>-10.5811233299994</v>
      </c>
      <c r="D237" s="12" t="n">
        <f aca="false">Inputs!$B$8+Inputs!$B$5*COS(RADIANS(A237))</f>
        <v>-0.668216548348969</v>
      </c>
      <c r="E237" s="12" t="n">
        <f aca="false">Inputs!$B$9+Inputs!$B$5*SIN(RADIANS(A237))</f>
        <v>-0.954312131596675</v>
      </c>
      <c r="F237" s="12" t="n">
        <f aca="false">-Inputs!$B$6*(1-COS(RADIANS(C237)))</f>
        <v>-0.088370305503891</v>
      </c>
      <c r="G237" s="12" t="n">
        <f aca="false">C237*Inputs!$B$7</f>
        <v>-10.5811233299994</v>
      </c>
      <c r="H237" s="12" t="n">
        <f aca="false">SQRT(D237^2+E237^2)</f>
        <v>1.165</v>
      </c>
    </row>
    <row r="238" customFormat="false" ht="15" hidden="false" customHeight="false" outlineLevel="0" collapsed="false">
      <c r="A238" s="12" t="n">
        <f aca="false">236*Inputs!$B$10*Inputs!$B$7</f>
        <v>236</v>
      </c>
      <c r="B238" s="12" t="n">
        <f aca="false">236*Inputs!$B$10</f>
        <v>236</v>
      </c>
      <c r="C238" s="12" t="n">
        <f aca="false">DEGREES(ASIN(MIN(MAX(Inputs!$B$5/Inputs!$B$6*SIN(RADIANS(A238)),-1),1)))</f>
        <v>-10.7103154006313</v>
      </c>
      <c r="D238" s="12" t="n">
        <f aca="false">Inputs!$B$8+Inputs!$B$5*COS(RADIANS(A238))</f>
        <v>-0.651459732543421</v>
      </c>
      <c r="E238" s="12" t="n">
        <f aca="false">Inputs!$B$9+Inputs!$B$5*SIN(RADIANS(A238))</f>
        <v>-0.965828772026623</v>
      </c>
      <c r="F238" s="12" t="n">
        <f aca="false">-Inputs!$B$6*(1-COS(RADIANS(C238)))</f>
        <v>-0.0905350991977294</v>
      </c>
      <c r="G238" s="12" t="n">
        <f aca="false">C238*Inputs!$B$7</f>
        <v>-10.7103154006313</v>
      </c>
      <c r="H238" s="12" t="n">
        <f aca="false">SQRT(D238^2+E238^2)</f>
        <v>1.165</v>
      </c>
    </row>
    <row r="239" customFormat="false" ht="15" hidden="false" customHeight="false" outlineLevel="0" collapsed="false">
      <c r="A239" s="12" t="n">
        <f aca="false">237*Inputs!$B$10*Inputs!$B$7</f>
        <v>237</v>
      </c>
      <c r="B239" s="12" t="n">
        <f aca="false">237*Inputs!$B$10</f>
        <v>237</v>
      </c>
      <c r="C239" s="12" t="n">
        <f aca="false">DEGREES(ASIN(MIN(MAX(Inputs!$B$5/Inputs!$B$6*SIN(RADIANS(A239)),-1),1)))</f>
        <v>-10.8362601882202</v>
      </c>
      <c r="D239" s="12" t="n">
        <f aca="false">Inputs!$B$8+Inputs!$B$5*COS(RADIANS(A239))</f>
        <v>-0.634504475792507</v>
      </c>
      <c r="E239" s="12" t="n">
        <f aca="false">Inputs!$B$9+Inputs!$B$5*SIN(RADIANS(A239))</f>
        <v>-0.977051211656419</v>
      </c>
      <c r="F239" s="12" t="n">
        <f aca="false">-Inputs!$B$6*(1-COS(RADIANS(C239)))</f>
        <v>-0.0926704720599472</v>
      </c>
      <c r="G239" s="12" t="n">
        <f aca="false">C239*Inputs!$B$7</f>
        <v>-10.8362601882202</v>
      </c>
      <c r="H239" s="12" t="n">
        <f aca="false">SQRT(D239^2+E239^2)</f>
        <v>1.165</v>
      </c>
    </row>
    <row r="240" customFormat="false" ht="15" hidden="false" customHeight="false" outlineLevel="0" collapsed="false">
      <c r="A240" s="12" t="n">
        <f aca="false">238*Inputs!$B$10*Inputs!$B$7</f>
        <v>238</v>
      </c>
      <c r="B240" s="12" t="n">
        <f aca="false">238*Inputs!$B$10</f>
        <v>238</v>
      </c>
      <c r="C240" s="12" t="n">
        <f aca="false">DEGREES(ASIN(MIN(MAX(Inputs!$B$5/Inputs!$B$6*SIN(RADIANS(A240)),-1),1)))</f>
        <v>-10.9589158373049</v>
      </c>
      <c r="D240" s="12" t="n">
        <f aca="false">Inputs!$B$8+Inputs!$B$5*COS(RADIANS(A240))</f>
        <v>-0.617355942831684</v>
      </c>
      <c r="E240" s="12" t="n">
        <f aca="false">Inputs!$B$9+Inputs!$B$5*SIN(RADIANS(A240))</f>
        <v>-0.987976032022236</v>
      </c>
      <c r="F240" s="12" t="n">
        <f aca="false">-Inputs!$B$6*(1-COS(RADIANS(C240)))</f>
        <v>-0.0947737839106353</v>
      </c>
      <c r="G240" s="12" t="n">
        <f aca="false">C240*Inputs!$B$7</f>
        <v>-10.9589158373049</v>
      </c>
      <c r="H240" s="12" t="n">
        <f aca="false">SQRT(D240^2+E240^2)</f>
        <v>1.165</v>
      </c>
    </row>
    <row r="241" customFormat="false" ht="15" hidden="false" customHeight="false" outlineLevel="0" collapsed="false">
      <c r="A241" s="12" t="n">
        <f aca="false">239*Inputs!$B$10*Inputs!$B$7</f>
        <v>239</v>
      </c>
      <c r="B241" s="12" t="n">
        <f aca="false">239*Inputs!$B$10</f>
        <v>239</v>
      </c>
      <c r="C241" s="12" t="n">
        <f aca="false">DEGREES(ASIN(MIN(MAX(Inputs!$B$5/Inputs!$B$6*SIN(RADIANS(A241)),-1),1)))</f>
        <v>-11.0782414566374</v>
      </c>
      <c r="D241" s="12" t="n">
        <f aca="false">Inputs!$B$8+Inputs!$B$5*COS(RADIANS(A241))</f>
        <v>-0.600019357270214</v>
      </c>
      <c r="E241" s="12" t="n">
        <f aca="false">Inputs!$B$9+Inputs!$B$5*SIN(RADIANS(A241))</f>
        <v>-0.998599905317961</v>
      </c>
      <c r="F241" s="12" t="n">
        <f aca="false">-Inputs!$B$6*(1-COS(RADIANS(C241)))</f>
        <v>-0.096842430953828</v>
      </c>
      <c r="G241" s="12" t="n">
        <f aca="false">C241*Inputs!$B$7</f>
        <v>-11.0782414566374</v>
      </c>
      <c r="H241" s="12" t="n">
        <f aca="false">SQRT(D241^2+E241^2)</f>
        <v>1.165</v>
      </c>
    </row>
    <row r="242" customFormat="false" ht="15" hidden="false" customHeight="false" outlineLevel="0" collapsed="false">
      <c r="A242" s="12" t="n">
        <f aca="false">240*Inputs!$B$10*Inputs!$B$7</f>
        <v>240</v>
      </c>
      <c r="B242" s="12" t="n">
        <f aca="false">240*Inputs!$B$10</f>
        <v>240</v>
      </c>
      <c r="C242" s="12" t="n">
        <f aca="false">DEGREES(ASIN(MIN(MAX(Inputs!$B$5/Inputs!$B$6*SIN(RADIANS(A242)),-1),1)))</f>
        <v>-11.1941971414408</v>
      </c>
      <c r="D242" s="12" t="n">
        <f aca="false">Inputs!$B$8+Inputs!$B$5*COS(RADIANS(A242))</f>
        <v>-0.582500000000001</v>
      </c>
      <c r="E242" s="12" t="n">
        <f aca="false">Inputs!$B$9+Inputs!$B$5*SIN(RADIANS(A242))</f>
        <v>-1.00891959540887</v>
      </c>
      <c r="F242" s="12" t="n">
        <f aca="false">-Inputs!$B$6*(1-COS(RADIANS(C242)))</f>
        <v>-0.0988738491481011</v>
      </c>
      <c r="G242" s="12" t="n">
        <f aca="false">C242*Inputs!$B$7</f>
        <v>-11.1941971414408</v>
      </c>
      <c r="H242" s="12" t="n">
        <f aca="false">SQRT(D242^2+E242^2)</f>
        <v>1.165</v>
      </c>
    </row>
    <row r="243" customFormat="false" ht="15" hidden="false" customHeight="false" outlineLevel="0" collapsed="false">
      <c r="A243" s="12" t="n">
        <f aca="false">241*Inputs!$B$10*Inputs!$B$7</f>
        <v>241</v>
      </c>
      <c r="B243" s="12" t="n">
        <f aca="false">241*Inputs!$B$10</f>
        <v>241</v>
      </c>
      <c r="C243" s="12" t="n">
        <f aca="false">DEGREES(ASIN(MIN(MAX(Inputs!$B$5/Inputs!$B$6*SIN(RADIANS(A243)),-1),1)))</f>
        <v>-11.3067439954866</v>
      </c>
      <c r="D243" s="12" t="n">
        <f aca="false">Inputs!$B$8+Inputs!$B$5*COS(RADIANS(A243))</f>
        <v>-0.564803207586983</v>
      </c>
      <c r="E243" s="12" t="n">
        <f aca="false">Inputs!$B$9+Inputs!$B$5*SIN(RADIANS(A243))</f>
        <v>-1.0189319588174</v>
      </c>
      <c r="F243" s="12" t="n">
        <f aca="false">-Inputs!$B$6*(1-COS(RADIANS(C243)))</f>
        <v>-0.100865517541698</v>
      </c>
      <c r="G243" s="12" t="n">
        <f aca="false">C243*Inputs!$B$7</f>
        <v>-11.3067439954866</v>
      </c>
      <c r="H243" s="12" t="n">
        <f aca="false">SQRT(D243^2+E243^2)</f>
        <v>1.165</v>
      </c>
    </row>
    <row r="244" customFormat="false" ht="15" hidden="false" customHeight="false" outlineLevel="0" collapsed="false">
      <c r="A244" s="12" t="n">
        <f aca="false">242*Inputs!$B$10*Inputs!$B$7</f>
        <v>242</v>
      </c>
      <c r="B244" s="12" t="n">
        <f aca="false">242*Inputs!$B$10</f>
        <v>242</v>
      </c>
      <c r="C244" s="12" t="n">
        <f aca="false">DEGREES(ASIN(MIN(MAX(Inputs!$B$5/Inputs!$B$6*SIN(RADIANS(A244)),-1),1)))</f>
        <v>-11.4158441529558</v>
      </c>
      <c r="D244" s="12" t="n">
        <f aca="false">Inputs!$B$8+Inputs!$B$5*COS(RADIANS(A244))</f>
        <v>-0.546934370645563</v>
      </c>
      <c r="E244" s="12" t="n">
        <f aca="false">Inputs!$B$9+Inputs!$B$5*SIN(RADIANS(A244))</f>
        <v>-1.02863394568065</v>
      </c>
      <c r="F244" s="12" t="n">
        <f aca="false">-Inputs!$B$6*(1-COS(RADIANS(C244)))</f>
        <v>-0.102814961567114</v>
      </c>
      <c r="G244" s="12" t="n">
        <f aca="false">C244*Inputs!$B$7</f>
        <v>-11.4158441529558</v>
      </c>
      <c r="H244" s="12" t="n">
        <f aca="false">SQRT(D244^2+E244^2)</f>
        <v>1.165</v>
      </c>
    </row>
    <row r="245" customFormat="false" ht="15" hidden="false" customHeight="false" outlineLevel="0" collapsed="false">
      <c r="A245" s="12" t="n">
        <f aca="false">243*Inputs!$B$10*Inputs!$B$7</f>
        <v>243</v>
      </c>
      <c r="B245" s="12" t="n">
        <f aca="false">243*Inputs!$B$10</f>
        <v>243</v>
      </c>
      <c r="C245" s="12" t="n">
        <f aca="false">DEGREES(ASIN(MIN(MAX(Inputs!$B$5/Inputs!$B$6*SIN(RADIANS(A245)),-1),1)))</f>
        <v>-11.5214608000484</v>
      </c>
      <c r="D245" s="12" t="n">
        <f aca="false">Inputs!$B$8+Inputs!$B$5*COS(RADIANS(A245))</f>
        <v>-0.528898932196572</v>
      </c>
      <c r="E245" s="12" t="n">
        <f aca="false">Inputs!$B$9+Inputs!$B$5*SIN(RADIANS(A245))</f>
        <v>-1.03802260067945</v>
      </c>
      <c r="F245" s="12" t="n">
        <f aca="false">-Inputs!$B$6*(1-COS(RADIANS(C245)))</f>
        <v>-0.104719756290049</v>
      </c>
      <c r="G245" s="12" t="n">
        <f aca="false">C245*Inputs!$B$7</f>
        <v>-11.5214608000484</v>
      </c>
      <c r="H245" s="12" t="n">
        <f aca="false">SQRT(D245^2+E245^2)</f>
        <v>1.165</v>
      </c>
    </row>
    <row r="246" customFormat="false" ht="15" hidden="false" customHeight="false" outlineLevel="0" collapsed="false">
      <c r="A246" s="12" t="n">
        <f aca="false">244*Inputs!$B$10*Inputs!$B$7</f>
        <v>244</v>
      </c>
      <c r="B246" s="12" t="n">
        <f aca="false">244*Inputs!$B$10</f>
        <v>244</v>
      </c>
      <c r="C246" s="12" t="n">
        <f aca="false">DEGREES(ASIN(MIN(MAX(Inputs!$B$5/Inputs!$B$6*SIN(RADIANS(A246)),-1),1)))</f>
        <v>-11.6235581963057</v>
      </c>
      <c r="D246" s="12" t="n">
        <f aca="false">Inputs!$B$8+Inputs!$B$5*COS(RADIANS(A246))</f>
        <v>-0.510702386009276</v>
      </c>
      <c r="E246" s="12" t="n">
        <f aca="false">Inputs!$B$9+Inputs!$B$5*SIN(RADIANS(A246))</f>
        <v>-1.04709506393853</v>
      </c>
      <c r="F246" s="12" t="n">
        <f aca="false">-Inputs!$B$6*(1-COS(RADIANS(C246)))</f>
        <v>-0.106577529607629</v>
      </c>
      <c r="G246" s="12" t="n">
        <f aca="false">C246*Inputs!$B$7</f>
        <v>-11.6235581963057</v>
      </c>
      <c r="H246" s="12" t="n">
        <f aca="false">SQRT(D246^2+E246^2)</f>
        <v>1.165</v>
      </c>
    </row>
    <row r="247" customFormat="false" ht="15" hidden="false" customHeight="false" outlineLevel="0" collapsed="false">
      <c r="A247" s="12" t="n">
        <f aca="false">245*Inputs!$B$10*Inputs!$B$7</f>
        <v>245</v>
      </c>
      <c r="B247" s="12" t="n">
        <f aca="false">245*Inputs!$B$10</f>
        <v>245</v>
      </c>
      <c r="C247" s="12" t="n">
        <f aca="false">DEGREES(ASIN(MIN(MAX(Inputs!$B$5/Inputs!$B$6*SIN(RADIANS(A247)),-1),1)))</f>
        <v>-11.7221016956075</v>
      </c>
      <c r="D247" s="12" t="n">
        <f aca="false">Inputs!$B$8+Inputs!$B$5*COS(RADIANS(A247))</f>
        <v>-0.492350274927915</v>
      </c>
      <c r="E247" s="12" t="n">
        <f aca="false">Inputs!$B$9+Inputs!$B$5*SIN(RADIANS(A247))</f>
        <v>-1.0558485718977</v>
      </c>
      <c r="F247" s="12" t="n">
        <f aca="false">-Inputs!$B$6*(1-COS(RADIANS(C247)))</f>
        <v>-0.108385965390812</v>
      </c>
      <c r="G247" s="12" t="n">
        <f aca="false">C247*Inputs!$B$7</f>
        <v>-11.7221016956075</v>
      </c>
      <c r="H247" s="12" t="n">
        <f aca="false">SQRT(D247^2+E247^2)</f>
        <v>1.165</v>
      </c>
    </row>
    <row r="248" customFormat="false" ht="15" hidden="false" customHeight="false" outlineLevel="0" collapsed="false">
      <c r="A248" s="12" t="n">
        <f aca="false">246*Inputs!$B$10*Inputs!$B$7</f>
        <v>246</v>
      </c>
      <c r="B248" s="12" t="n">
        <f aca="false">246*Inputs!$B$10</f>
        <v>246</v>
      </c>
      <c r="C248" s="12" t="n">
        <f aca="false">DEGREES(ASIN(MIN(MAX(Inputs!$B$5/Inputs!$B$6*SIN(RADIANS(A248)),-1),1)))</f>
        <v>-11.8170577668095</v>
      </c>
      <c r="D248" s="12" t="n">
        <f aca="false">Inputs!$B$8+Inputs!$B$5*COS(RADIANS(A248))</f>
        <v>-0.473848189183307</v>
      </c>
      <c r="E248" s="12" t="n">
        <f aca="false">Inputs!$B$9+Inputs!$B$5*SIN(RADIANS(A248))</f>
        <v>-1.06428045815363</v>
      </c>
      <c r="F248" s="12" t="n">
        <f aca="false">-Inputs!$B$6*(1-COS(RADIANS(C248)))</f>
        <v>-0.110142806565895</v>
      </c>
      <c r="G248" s="12" t="n">
        <f aca="false">C248*Inputs!$B$7</f>
        <v>-11.8170577668095</v>
      </c>
      <c r="H248" s="12" t="n">
        <f aca="false">SQRT(D248^2+E248^2)</f>
        <v>1.165</v>
      </c>
    </row>
    <row r="249" customFormat="false" ht="15" hidden="false" customHeight="false" outlineLevel="0" collapsed="false">
      <c r="A249" s="12" t="n">
        <f aca="false">247*Inputs!$B$10*Inputs!$B$7</f>
        <v>247</v>
      </c>
      <c r="B249" s="12" t="n">
        <f aca="false">247*Inputs!$B$10</f>
        <v>247</v>
      </c>
      <c r="C249" s="12" t="n">
        <f aca="false">DEGREES(ASIN(MIN(MAX(Inputs!$B$5/Inputs!$B$6*SIN(RADIANS(A249)),-1),1)))</f>
        <v>-11.9083940139834</v>
      </c>
      <c r="D249" s="12" t="n">
        <f aca="false">Inputs!$B$8+Inputs!$B$5*COS(RADIANS(A249))</f>
        <v>-0.455201764690004</v>
      </c>
      <c r="E249" s="12" t="n">
        <f aca="false">Inputs!$B$9+Inputs!$B$5*SIN(RADIANS(A249))</f>
        <v>-1.07238815427209</v>
      </c>
      <c r="F249" s="12" t="n">
        <f aca="false">-Inputs!$B$6*(1-COS(RADIANS(C249)))</f>
        <v>-0.111845858130071</v>
      </c>
      <c r="G249" s="12" t="n">
        <f aca="false">C249*Inputs!$B$7</f>
        <v>-11.9083940139834</v>
      </c>
      <c r="H249" s="12" t="n">
        <f aca="false">SQRT(D249^2+E249^2)</f>
        <v>1.165</v>
      </c>
    </row>
    <row r="250" customFormat="false" ht="15" hidden="false" customHeight="false" outlineLevel="0" collapsed="false">
      <c r="A250" s="12" t="n">
        <f aca="false">248*Inputs!$B$10*Inputs!$B$7</f>
        <v>248</v>
      </c>
      <c r="B250" s="12" t="n">
        <f aca="false">248*Inputs!$B$10</f>
        <v>248</v>
      </c>
      <c r="C250" s="12" t="n">
        <f aca="false">DEGREES(ASIN(MIN(MAX(Inputs!$B$5/Inputs!$B$6*SIN(RADIANS(A250)),-1),1)))</f>
        <v>-11.9960791962229</v>
      </c>
      <c r="D250" s="12" t="n">
        <f aca="false">Inputs!$B$8+Inputs!$B$5*COS(RADIANS(A250))</f>
        <v>-0.436416681329538</v>
      </c>
      <c r="E250" s="12" t="n">
        <f aca="false">Inputs!$B$9+Inputs!$B$5*SIN(RADIANS(A250))</f>
        <v>-1.08016919057031</v>
      </c>
      <c r="F250" s="12" t="n">
        <f aca="false">-Inputs!$B$6*(1-COS(RADIANS(C250)))</f>
        <v>-0.113492990096041</v>
      </c>
      <c r="G250" s="12" t="n">
        <f aca="false">C250*Inputs!$B$7</f>
        <v>-11.9960791962229</v>
      </c>
      <c r="H250" s="12" t="n">
        <f aca="false">SQRT(D250^2+E250^2)</f>
        <v>1.165</v>
      </c>
    </row>
    <row r="251" customFormat="false" ht="15" hidden="false" customHeight="false" outlineLevel="0" collapsed="false">
      <c r="A251" s="12" t="n">
        <f aca="false">249*Inputs!$B$10*Inputs!$B$7</f>
        <v>249</v>
      </c>
      <c r="B251" s="12" t="n">
        <f aca="false">249*Inputs!$B$10</f>
        <v>249</v>
      </c>
      <c r="C251" s="12" t="n">
        <f aca="false">DEGREES(ASIN(MIN(MAX(Inputs!$B$5/Inputs!$B$6*SIN(RADIANS(A251)),-1),1)))</f>
        <v>-12.0800832469791</v>
      </c>
      <c r="D251" s="12" t="n">
        <f aca="false">Inputs!$B$8+Inputs!$B$5*COS(RADIANS(A251))</f>
        <v>-0.417498661220275</v>
      </c>
      <c r="E251" s="12" t="n">
        <f aca="false">Inputs!$B$9+Inputs!$B$5*SIN(RADIANS(A251))</f>
        <v>-1.08762119686924</v>
      </c>
      <c r="F251" s="12" t="n">
        <f aca="false">-Inputs!$B$6*(1-COS(RADIANS(C251)))</f>
        <v>-0.115082140360716</v>
      </c>
      <c r="G251" s="12" t="n">
        <f aca="false">C251*Inputs!$B$7</f>
        <v>-12.0800832469791</v>
      </c>
      <c r="H251" s="12" t="n">
        <f aca="false">SQRT(D251^2+E251^2)</f>
        <v>1.165</v>
      </c>
    </row>
    <row r="252" customFormat="false" ht="15" hidden="false" customHeight="false" outlineLevel="0" collapsed="false">
      <c r="A252" s="12" t="n">
        <f aca="false">250*Inputs!$B$10*Inputs!$B$7</f>
        <v>250</v>
      </c>
      <c r="B252" s="12" t="n">
        <f aca="false">250*Inputs!$B$10</f>
        <v>250</v>
      </c>
      <c r="C252" s="12" t="n">
        <f aca="false">DEGREES(ASIN(MIN(MAX(Inputs!$B$5/Inputs!$B$6*SIN(RADIANS(A252)),-1),1)))</f>
        <v>-12.1603772928898</v>
      </c>
      <c r="D252" s="12" t="n">
        <f aca="false">Inputs!$B$8+Inputs!$B$5*COS(RADIANS(A252))</f>
        <v>-0.398453466974405</v>
      </c>
      <c r="E252" s="12" t="n">
        <f aca="false">Inputs!$B$9+Inputs!$B$5*SIN(RADIANS(A252))</f>
        <v>-1.09474190321558</v>
      </c>
      <c r="F252" s="12" t="n">
        <f aca="false">-Inputs!$B$6*(1-COS(RADIANS(C252)))</f>
        <v>-0.116611317493127</v>
      </c>
      <c r="G252" s="12" t="n">
        <f aca="false">C252*Inputs!$B$7</f>
        <v>-12.1603772928898</v>
      </c>
      <c r="H252" s="12" t="n">
        <f aca="false">SQRT(D252^2+E252^2)</f>
        <v>1.165</v>
      </c>
    </row>
    <row r="253" customFormat="false" ht="15" hidden="false" customHeight="false" outlineLevel="0" collapsed="false">
      <c r="A253" s="12" t="n">
        <f aca="false">251*Inputs!$B$10*Inputs!$B$7</f>
        <v>251</v>
      </c>
      <c r="B253" s="12" t="n">
        <f aca="false">251*Inputs!$B$10</f>
        <v>251</v>
      </c>
      <c r="C253" s="12" t="n">
        <f aca="false">DEGREES(ASIN(MIN(MAX(Inputs!$B$5/Inputs!$B$6*SIN(RADIANS(A253)),-1),1)))</f>
        <v>-12.2369336720656</v>
      </c>
      <c r="D253" s="12" t="n">
        <f aca="false">Inputs!$B$8+Inputs!$B$5*COS(RADIANS(A253))</f>
        <v>-0.379286899942588</v>
      </c>
      <c r="E253" s="12" t="n">
        <f aca="false">Inputs!$B$9+Inputs!$B$5*SIN(RADIANS(A253))</f>
        <v>-1.1015291405732</v>
      </c>
      <c r="F253" s="12" t="n">
        <f aca="false">-Inputs!$B$6*(1-COS(RADIANS(C253)))</f>
        <v>-0.118078603436744</v>
      </c>
      <c r="G253" s="12" t="n">
        <f aca="false">C253*Inputs!$B$7</f>
        <v>-12.2369336720656</v>
      </c>
      <c r="H253" s="12" t="n">
        <f aca="false">SQRT(D253^2+E253^2)</f>
        <v>1.165</v>
      </c>
    </row>
    <row r="254" customFormat="false" ht="15" hidden="false" customHeight="false" outlineLevel="0" collapsed="false">
      <c r="A254" s="12" t="n">
        <f aca="false">252*Inputs!$B$10*Inputs!$B$7</f>
        <v>252</v>
      </c>
      <c r="B254" s="12" t="n">
        <f aca="false">252*Inputs!$B$10</f>
        <v>252</v>
      </c>
      <c r="C254" s="12" t="n">
        <f aca="false">DEGREES(ASIN(MIN(MAX(Inputs!$B$5/Inputs!$B$6*SIN(RADIANS(A254)),-1),1)))</f>
        <v>-12.3097259517984</v>
      </c>
      <c r="D254" s="12" t="n">
        <f aca="false">Inputs!$B$8+Inputs!$B$5*COS(RADIANS(A254))</f>
        <v>-0.360004798446814</v>
      </c>
      <c r="E254" s="12" t="n">
        <f aca="false">Inputs!$B$9+Inputs!$B$5*SIN(RADIANS(A254))</f>
        <v>-1.10798084148385</v>
      </c>
      <c r="F254" s="12" t="n">
        <f aca="false">-Inputs!$B$6*(1-COS(RADIANS(C254)))</f>
        <v>-0.119482156121484</v>
      </c>
      <c r="G254" s="12" t="n">
        <f aca="false">C254*Inputs!$B$7</f>
        <v>-12.3097259517984</v>
      </c>
      <c r="H254" s="12" t="n">
        <f aca="false">SQRT(D254^2+E254^2)</f>
        <v>1.165</v>
      </c>
    </row>
    <row r="255" customFormat="false" ht="15" hidden="false" customHeight="false" outlineLevel="0" collapsed="false">
      <c r="A255" s="12" t="n">
        <f aca="false">253*Inputs!$B$10*Inputs!$B$7</f>
        <v>253</v>
      </c>
      <c r="B255" s="12" t="n">
        <f aca="false">253*Inputs!$B$10</f>
        <v>253</v>
      </c>
      <c r="C255" s="12" t="n">
        <f aca="false">DEGREES(ASIN(MIN(MAX(Inputs!$B$5/Inputs!$B$6*SIN(RADIANS(A255)),-1),1)))</f>
        <v>-12.3787289456573</v>
      </c>
      <c r="D255" s="12" t="n">
        <f aca="false">Inputs!$B$8+Inputs!$B$5*COS(RADIANS(A255))</f>
        <v>-0.340613036001989</v>
      </c>
      <c r="E255" s="12" t="n">
        <f aca="false">Inputs!$B$9+Inputs!$B$5*SIN(RADIANS(A255))</f>
        <v>-1.11409504069694</v>
      </c>
      <c r="F255" s="12" t="n">
        <f aca="false">-Inputs!$B$6*(1-COS(RADIANS(C255)))</f>
        <v>-0.120820211980815</v>
      </c>
      <c r="G255" s="12" t="n">
        <f aca="false">C255*Inputs!$B$7</f>
        <v>-12.3787289456573</v>
      </c>
      <c r="H255" s="12" t="n">
        <f aca="false">SQRT(D255^2+E255^2)</f>
        <v>1.165</v>
      </c>
    </row>
    <row r="256" customFormat="false" ht="15" hidden="false" customHeight="false" outlineLevel="0" collapsed="false">
      <c r="A256" s="12" t="n">
        <f aca="false">254*Inputs!$B$10*Inputs!$B$7</f>
        <v>254</v>
      </c>
      <c r="B256" s="12" t="n">
        <f aca="false">254*Inputs!$B$10</f>
        <v>254</v>
      </c>
      <c r="C256" s="12" t="n">
        <f aca="false">DEGREES(ASIN(MIN(MAX(Inputs!$B$5/Inputs!$B$6*SIN(RADIANS(A256)),-1),1)))</f>
        <v>-12.4439187299377</v>
      </c>
      <c r="D256" s="12" t="n">
        <f aca="false">Inputs!$B$8+Inputs!$B$5*COS(RADIANS(A256))</f>
        <v>-0.321117519526804</v>
      </c>
      <c r="E256" s="12" t="n">
        <f aca="false">Inputs!$B$9+Inputs!$B$5*SIN(RADIANS(A256))</f>
        <v>-1.11986987576814</v>
      </c>
      <c r="F256" s="12" t="n">
        <f aca="false">-Inputs!$B$6*(1-COS(RADIANS(C256)))</f>
        <v>-0.122091088369462</v>
      </c>
      <c r="G256" s="12" t="n">
        <f aca="false">C256*Inputs!$B$7</f>
        <v>-12.4439187299377</v>
      </c>
      <c r="H256" s="12" t="n">
        <f aca="false">SQRT(D256^2+E256^2)</f>
        <v>1.165</v>
      </c>
    </row>
    <row r="257" customFormat="false" ht="15" hidden="false" customHeight="false" outlineLevel="0" collapsed="false">
      <c r="A257" s="12" t="n">
        <f aca="false">255*Inputs!$B$10*Inputs!$B$7</f>
        <v>255</v>
      </c>
      <c r="B257" s="12" t="n">
        <f aca="false">255*Inputs!$B$10</f>
        <v>255</v>
      </c>
      <c r="C257" s="12" t="n">
        <f aca="false">DEGREES(ASIN(MIN(MAX(Inputs!$B$5/Inputs!$B$6*SIN(RADIANS(A257)),-1),1)))</f>
        <v>-12.5052726594297</v>
      </c>
      <c r="D257" s="12" t="n">
        <f aca="false">Inputs!$B$8+Inputs!$B$5*COS(RADIANS(A257))</f>
        <v>-0.301524187544437</v>
      </c>
      <c r="E257" s="12" t="n">
        <f aca="false">Inputs!$B$9+Inputs!$B$5*SIN(RADIANS(A257))</f>
        <v>-1.12530358762676</v>
      </c>
      <c r="F257" s="12" t="n">
        <f aca="false">-Inputs!$B$6*(1-COS(RADIANS(C257)))</f>
        <v>-0.123293185877378</v>
      </c>
      <c r="G257" s="12" t="n">
        <f aca="false">C257*Inputs!$B$7</f>
        <v>-12.5052726594297</v>
      </c>
      <c r="H257" s="12" t="n">
        <f aca="false">SQRT(D257^2+E257^2)</f>
        <v>1.165</v>
      </c>
    </row>
    <row r="258" customFormat="false" ht="15" hidden="false" customHeight="false" outlineLevel="0" collapsed="false">
      <c r="A258" s="12" t="n">
        <f aca="false">256*Inputs!$B$10*Inputs!$B$7</f>
        <v>256</v>
      </c>
      <c r="B258" s="12" t="n">
        <f aca="false">256*Inputs!$B$10</f>
        <v>256</v>
      </c>
      <c r="C258" s="12" t="n">
        <f aca="false">DEGREES(ASIN(MIN(MAX(Inputs!$B$5/Inputs!$B$6*SIN(RADIANS(A258)),-1),1)))</f>
        <v>-12.5627693824762</v>
      </c>
      <c r="D258" s="12" t="n">
        <f aca="false">Inputs!$B$8+Inputs!$B$5*COS(RADIANS(A258))</f>
        <v>-0.281839008373613</v>
      </c>
      <c r="E258" s="12" t="n">
        <f aca="false">Inputs!$B$9+Inputs!$B$5*SIN(RADIANS(A258))</f>
        <v>-1.13039452111154</v>
      </c>
      <c r="F258" s="12" t="n">
        <f aca="false">-Inputs!$B$6*(1-COS(RADIANS(C258)))</f>
        <v>-0.124424990535771</v>
      </c>
      <c r="G258" s="12" t="n">
        <f aca="false">C258*Inputs!$B$7</f>
        <v>-12.5627693824762</v>
      </c>
      <c r="H258" s="12" t="n">
        <f aca="false">SQRT(D258^2+E258^2)</f>
        <v>1.165</v>
      </c>
    </row>
    <row r="259" customFormat="false" ht="15" hidden="false" customHeight="false" outlineLevel="0" collapsed="false">
      <c r="A259" s="12" t="n">
        <f aca="false">257*Inputs!$B$10*Inputs!$B$7</f>
        <v>257</v>
      </c>
      <c r="B259" s="12" t="n">
        <f aca="false">257*Inputs!$B$10</f>
        <v>257</v>
      </c>
      <c r="C259" s="12" t="n">
        <f aca="false">DEGREES(ASIN(MIN(MAX(Inputs!$B$5/Inputs!$B$6*SIN(RADIANS(A259)),-1),1)))</f>
        <v>-12.6163888552857</v>
      </c>
      <c r="D259" s="12" t="n">
        <f aca="false">Inputs!$B$8+Inputs!$B$5*COS(RADIANS(A259))</f>
        <v>-0.262067978310603</v>
      </c>
      <c r="E259" s="12" t="n">
        <f aca="false">Inputs!$B$9+Inputs!$B$5*SIN(RADIANS(A259))</f>
        <v>-1.1351411254748</v>
      </c>
      <c r="F259" s="12" t="n">
        <f aca="false">-Inputs!$B$6*(1-COS(RADIANS(C259)))</f>
        <v>-0.125485075911163</v>
      </c>
      <c r="G259" s="12" t="n">
        <f aca="false">C259*Inputs!$B$7</f>
        <v>-12.6163888552857</v>
      </c>
      <c r="H259" s="12" t="n">
        <f aca="false">SQRT(D259^2+E259^2)</f>
        <v>1.165</v>
      </c>
    </row>
    <row r="260" customFormat="false" ht="15" hidden="false" customHeight="false" outlineLevel="0" collapsed="false">
      <c r="A260" s="12" t="n">
        <f aca="false">258*Inputs!$B$10*Inputs!$B$7</f>
        <v>258</v>
      </c>
      <c r="B260" s="12" t="n">
        <f aca="false">258*Inputs!$B$10</f>
        <v>258</v>
      </c>
      <c r="C260" s="12" t="n">
        <f aca="false">DEGREES(ASIN(MIN(MAX(Inputs!$B$5/Inputs!$B$6*SIN(RADIANS(A260)),-1),1)))</f>
        <v>-12.6661123554741</v>
      </c>
      <c r="D260" s="12" t="n">
        <f aca="false">Inputs!$B$8+Inputs!$B$5*COS(RADIANS(A260))</f>
        <v>-0.24221711980269</v>
      </c>
      <c r="E260" s="12" t="n">
        <f aca="false">Inputs!$B$9+Inputs!$B$5*SIN(RADIANS(A260))</f>
        <v>-1.13954195485488</v>
      </c>
      <c r="F260" s="12" t="n">
        <f aca="false">-Inputs!$B$6*(1-COS(RADIANS(C260)))</f>
        <v>-0.126472105083583</v>
      </c>
      <c r="G260" s="12" t="n">
        <f aca="false">C260*Inputs!$B$7</f>
        <v>-12.6661123554741</v>
      </c>
      <c r="H260" s="12" t="n">
        <f aca="false">SQRT(D260^2+E260^2)</f>
        <v>1.165</v>
      </c>
    </row>
    <row r="261" customFormat="false" ht="15" hidden="false" customHeight="false" outlineLevel="0" collapsed="false">
      <c r="A261" s="12" t="n">
        <f aca="false">259*Inputs!$B$10*Inputs!$B$7</f>
        <v>259</v>
      </c>
      <c r="B261" s="12" t="n">
        <f aca="false">259*Inputs!$B$10</f>
        <v>259</v>
      </c>
      <c r="C261" s="12" t="n">
        <f aca="false">DEGREES(ASIN(MIN(MAX(Inputs!$B$5/Inputs!$B$6*SIN(RADIANS(A261)),-1),1)))</f>
        <v>-12.7119224948032</v>
      </c>
      <c r="D261" s="12" t="n">
        <f aca="false">Inputs!$B$8+Inputs!$B$5*COS(RADIANS(A261))</f>
        <v>-0.222292479613675</v>
      </c>
      <c r="E261" s="12" t="n">
        <f aca="false">Inputs!$B$9+Inputs!$B$5*SIN(RADIANS(A261))</f>
        <v>-1.14359566871653</v>
      </c>
      <c r="F261" s="12" t="n">
        <f aca="false">-Inputs!$B$6*(1-COS(RADIANS(C261)))</f>
        <v>-0.127384832505253</v>
      </c>
      <c r="G261" s="12" t="n">
        <f aca="false">C261*Inputs!$B$7</f>
        <v>-12.7119224948032</v>
      </c>
      <c r="H261" s="12" t="n">
        <f aca="false">SQRT(D261^2+E261^2)</f>
        <v>1.165</v>
      </c>
    </row>
    <row r="262" customFormat="false" ht="15" hidden="false" customHeight="false" outlineLevel="0" collapsed="false">
      <c r="A262" s="12" t="n">
        <f aca="false">260*Inputs!$B$10*Inputs!$B$7</f>
        <v>260</v>
      </c>
      <c r="B262" s="12" t="n">
        <f aca="false">260*Inputs!$B$10</f>
        <v>260</v>
      </c>
      <c r="C262" s="12" t="n">
        <f aca="false">DEGREES(ASIN(MIN(MAX(Inputs!$B$5/Inputs!$B$6*SIN(RADIANS(A262)),-1),1)))</f>
        <v>-12.7538032310919</v>
      </c>
      <c r="D262" s="12" t="n">
        <f aca="false">Inputs!$B$8+Inputs!$B$5*COS(RADIANS(A262))</f>
        <v>-0.202300126981974</v>
      </c>
      <c r="E262" s="12" t="n">
        <f aca="false">Inputs!$B$9+Inputs!$B$5*SIN(RADIANS(A262))</f>
        <v>-1.14730103225922</v>
      </c>
      <c r="F262" s="12" t="n">
        <f aca="false">-Inputs!$B$6*(1-COS(RADIANS(C262)))</f>
        <v>-0.128222105736244</v>
      </c>
      <c r="G262" s="12" t="n">
        <f aca="false">C262*Inputs!$B$7</f>
        <v>-12.7538032310919</v>
      </c>
      <c r="H262" s="12" t="n">
        <f aca="false">SQRT(D262^2+E262^2)</f>
        <v>1.165</v>
      </c>
    </row>
    <row r="263" customFormat="false" ht="15" hidden="false" customHeight="false" outlineLevel="0" collapsed="false">
      <c r="A263" s="12" t="n">
        <f aca="false">261*Inputs!$B$10*Inputs!$B$7</f>
        <v>261</v>
      </c>
      <c r="B263" s="12" t="n">
        <f aca="false">261*Inputs!$B$10</f>
        <v>261</v>
      </c>
      <c r="C263" s="12" t="n">
        <f aca="false">DEGREES(ASIN(MIN(MAX(Inputs!$B$5/Inputs!$B$6*SIN(RADIANS(A263)),-1),1)))</f>
        <v>-12.7917398792726</v>
      </c>
      <c r="D263" s="12" t="n">
        <f aca="false">Inputs!$B$8+Inputs!$B$5*COS(RADIANS(A263))</f>
        <v>-0.182246151771869</v>
      </c>
      <c r="E263" s="12" t="n">
        <f aca="false">Inputs!$B$9+Inputs!$B$5*SIN(RADIANS(A263))</f>
        <v>-1.15065691679334</v>
      </c>
      <c r="F263" s="12" t="n">
        <f aca="false">-Inputs!$B$6*(1-COS(RADIANS(C263)))</f>
        <v>-0.128982867053856</v>
      </c>
      <c r="G263" s="12" t="n">
        <f aca="false">C263*Inputs!$B$7</f>
        <v>-12.7917398792726</v>
      </c>
      <c r="H263" s="12" t="n">
        <f aca="false">SQRT(D263^2+E263^2)</f>
        <v>1.165</v>
      </c>
    </row>
    <row r="264" customFormat="false" ht="15" hidden="false" customHeight="false" outlineLevel="0" collapsed="false">
      <c r="A264" s="12" t="n">
        <f aca="false">262*Inputs!$B$10*Inputs!$B$7</f>
        <v>262</v>
      </c>
      <c r="B264" s="12" t="n">
        <f aca="false">262*Inputs!$B$10</f>
        <v>262</v>
      </c>
      <c r="C264" s="12" t="n">
        <f aca="false">DEGREES(ASIN(MIN(MAX(Inputs!$B$5/Inputs!$B$6*SIN(RADIANS(A264)),-1),1)))</f>
        <v>-12.8257191215695</v>
      </c>
      <c r="D264" s="12" t="n">
        <f aca="false">Inputs!$B$8+Inputs!$B$5*COS(RADIANS(A264))</f>
        <v>-0.162136662618477</v>
      </c>
      <c r="E264" s="12" t="n">
        <f aca="false">Inputs!$B$9+Inputs!$B$5*SIN(RADIANS(A264))</f>
        <v>-1.15366230008393</v>
      </c>
      <c r="F264" s="12" t="n">
        <f aca="false">-Inputs!$B$6*(1-COS(RADIANS(C264)))</f>
        <v>-0.129666154932649</v>
      </c>
      <c r="G264" s="12" t="n">
        <f aca="false">C264*Inputs!$B$7</f>
        <v>-12.8257191215695</v>
      </c>
      <c r="H264" s="12" t="n">
        <f aca="false">SQRT(D264^2+E264^2)</f>
        <v>1.165</v>
      </c>
    </row>
    <row r="265" customFormat="false" ht="15" hidden="false" customHeight="false" outlineLevel="0" collapsed="false">
      <c r="A265" s="12" t="n">
        <f aca="false">263*Inputs!$B$10*Inputs!$B$7</f>
        <v>263</v>
      </c>
      <c r="B265" s="12" t="n">
        <f aca="false">263*Inputs!$B$10</f>
        <v>263</v>
      </c>
      <c r="C265" s="12" t="n">
        <f aca="false">DEGREES(ASIN(MIN(MAX(Inputs!$B$5/Inputs!$B$6*SIN(RADIANS(A265)),-1),1)))</f>
        <v>-12.8557290167774</v>
      </c>
      <c r="D265" s="12" t="n">
        <f aca="false">Inputs!$B$8+Inputs!$B$5*COS(RADIANS(A265))</f>
        <v>-0.141977785066998</v>
      </c>
      <c r="E265" s="12" t="n">
        <f aca="false">Inputs!$B$9+Inputs!$B$5*SIN(RADIANS(A265))</f>
        <v>-1.15631626666214</v>
      </c>
      <c r="F265" s="12" t="n">
        <f aca="false">-Inputs!$B$6*(1-COS(RADIANS(C265)))</f>
        <v>-0.130271105392303</v>
      </c>
      <c r="G265" s="12" t="n">
        <f aca="false">C265*Inputs!$B$7</f>
        <v>-12.8557290167774</v>
      </c>
      <c r="H265" s="12" t="n">
        <f aca="false">SQRT(D265^2+E265^2)</f>
        <v>1.165</v>
      </c>
    </row>
    <row r="266" customFormat="false" ht="15" hidden="false" customHeight="false" outlineLevel="0" collapsed="false">
      <c r="A266" s="12" t="n">
        <f aca="false">264*Inputs!$B$10*Inputs!$B$7</f>
        <v>264</v>
      </c>
      <c r="B266" s="12" t="n">
        <f aca="false">264*Inputs!$B$10</f>
        <v>264</v>
      </c>
      <c r="C266" s="12" t="n">
        <f aca="false">DEGREES(ASIN(MIN(MAX(Inputs!$B$5/Inputs!$B$6*SIN(RADIANS(A266)),-1),1)))</f>
        <v>-12.881759008619</v>
      </c>
      <c r="D266" s="12" t="n">
        <f aca="false">Inputs!$B$8+Inputs!$B$5*COS(RADIANS(A266))</f>
        <v>-0.121775659706817</v>
      </c>
      <c r="E266" s="12" t="n">
        <f aca="false">Inputs!$B$9+Inputs!$B$5*SIN(RADIANS(A266))</f>
        <v>-1.15861800810404</v>
      </c>
      <c r="F266" s="12" t="n">
        <f aca="false">-Inputs!$B$6*(1-COS(RADIANS(C266)))</f>
        <v>-0.130796953210716</v>
      </c>
      <c r="G266" s="12" t="n">
        <f aca="false">C266*Inputs!$B$7</f>
        <v>-12.881759008619</v>
      </c>
      <c r="H266" s="12" t="n">
        <f aca="false">SQRT(D266^2+E266^2)</f>
        <v>1.165</v>
      </c>
    </row>
    <row r="267" customFormat="false" ht="15" hidden="false" customHeight="false" outlineLevel="0" collapsed="false">
      <c r="A267" s="12" t="n">
        <f aca="false">265*Inputs!$B$10*Inputs!$B$7</f>
        <v>265</v>
      </c>
      <c r="B267" s="12" t="n">
        <f aca="false">265*Inputs!$B$10</f>
        <v>265</v>
      </c>
      <c r="C267" s="12" t="n">
        <f aca="false">DEGREES(ASIN(MIN(MAX(Inputs!$B$5/Inputs!$B$6*SIN(RADIANS(A267)),-1),1)))</f>
        <v>-12.9037999331639</v>
      </c>
      <c r="D267" s="12" t="n">
        <f aca="false">Inputs!$B$8+Inputs!$B$5*COS(RADIANS(A267))</f>
        <v>-0.101536440301022</v>
      </c>
      <c r="E267" s="12" t="n">
        <f aca="false">Inputs!$B$9+Inputs!$B$5*SIN(RADIANS(A267))</f>
        <v>-1.16056682327688</v>
      </c>
      <c r="F267" s="12" t="n">
        <f aca="false">-Inputs!$B$6*(1-COS(RADIANS(C267)))</f>
        <v>-0.131243033000004</v>
      </c>
      <c r="G267" s="12" t="n">
        <f aca="false">C267*Inputs!$B$7</f>
        <v>-12.9037999331639</v>
      </c>
      <c r="H267" s="12" t="n">
        <f aca="false">SQRT(D267^2+E267^2)</f>
        <v>1.165</v>
      </c>
    </row>
    <row r="268" customFormat="false" ht="15" hidden="false" customHeight="false" outlineLevel="0" collapsed="false">
      <c r="A268" s="12" t="n">
        <f aca="false">266*Inputs!$B$10*Inputs!$B$7</f>
        <v>266</v>
      </c>
      <c r="B268" s="12" t="n">
        <f aca="false">266*Inputs!$B$10</f>
        <v>266</v>
      </c>
      <c r="C268" s="12" t="n">
        <f aca="false">DEGREES(ASIN(MIN(MAX(Inputs!$B$5/Inputs!$B$6*SIN(RADIANS(A268)),-1),1)))</f>
        <v>-12.9218440252924</v>
      </c>
      <c r="D268" s="12" t="n">
        <f aca="false">Inputs!$B$8+Inputs!$B$5*COS(RADIANS(A268))</f>
        <v>-0.0812662919119063</v>
      </c>
      <c r="E268" s="12" t="n">
        <f aca="false">Inputs!$B$9+Inputs!$B$5*SIN(RADIANS(A268))</f>
        <v>-1.1621621185527</v>
      </c>
      <c r="F268" s="12" t="n">
        <f aca="false">-Inputs!$B$6*(1-COS(RADIANS(C268)))</f>
        <v>-0.131608780143323</v>
      </c>
      <c r="G268" s="12" t="n">
        <f aca="false">C268*Inputs!$B$7</f>
        <v>-12.9218440252924</v>
      </c>
      <c r="H268" s="12" t="n">
        <f aca="false">SQRT(D268^2+E268^2)</f>
        <v>1.165</v>
      </c>
    </row>
    <row r="269" customFormat="false" ht="15" hidden="false" customHeight="false" outlineLevel="0" collapsed="false">
      <c r="A269" s="12" t="n">
        <f aca="false">267*Inputs!$B$10*Inputs!$B$7</f>
        <v>267</v>
      </c>
      <c r="B269" s="12" t="n">
        <f aca="false">267*Inputs!$B$10</f>
        <v>267</v>
      </c>
      <c r="C269" s="12" t="n">
        <f aca="false">DEGREES(ASIN(MIN(MAX(Inputs!$B$5/Inputs!$B$6*SIN(RADIANS(A269)),-1),1)))</f>
        <v>-12.9358849241891</v>
      </c>
      <c r="D269" s="12" t="n">
        <f aca="false">Inputs!$B$8+Inputs!$B$5*COS(RADIANS(A269))</f>
        <v>-0.0609713890230291</v>
      </c>
      <c r="E269" s="12" t="n">
        <f aca="false">Inputs!$B$9+Inputs!$B$5*SIN(RADIANS(A269))</f>
        <v>-1.16340340798908</v>
      </c>
      <c r="F269" s="12" t="n">
        <f aca="false">-Inputs!$B$6*(1-COS(RADIANS(C269)))</f>
        <v>-0.131893731590679</v>
      </c>
      <c r="G269" s="12" t="n">
        <f aca="false">C269*Inputs!$B$7</f>
        <v>-12.9358849241891</v>
      </c>
      <c r="H269" s="12" t="n">
        <f aca="false">SQRT(D269^2+E269^2)</f>
        <v>1.165</v>
      </c>
    </row>
    <row r="270" customFormat="false" ht="15" hidden="false" customHeight="false" outlineLevel="0" collapsed="false">
      <c r="A270" s="12" t="n">
        <f aca="false">268*Inputs!$B$10*Inputs!$B$7</f>
        <v>268</v>
      </c>
      <c r="B270" s="12" t="n">
        <f aca="false">268*Inputs!$B$10</f>
        <v>268</v>
      </c>
      <c r="C270" s="12" t="n">
        <f aca="false">DEGREES(ASIN(MIN(MAX(Inputs!$B$5/Inputs!$B$6*SIN(RADIANS(A270)),-1),1)))</f>
        <v>-12.9459176778548</v>
      </c>
      <c r="D270" s="12" t="n">
        <f aca="false">Inputs!$B$8+Inputs!$B$5*COS(RADIANS(A270))</f>
        <v>-0.0406579136584134</v>
      </c>
      <c r="E270" s="12" t="n">
        <f aca="false">Inputs!$B$9+Inputs!$B$5*SIN(RADIANS(A270))</f>
        <v>-1.16429031347725</v>
      </c>
      <c r="F270" s="12" t="n">
        <f aca="false">-Inputs!$B$6*(1-COS(RADIANS(C270)))</f>
        <v>-0.132097526512178</v>
      </c>
      <c r="G270" s="12" t="n">
        <f aca="false">C270*Inputs!$B$7</f>
        <v>-12.9459176778548</v>
      </c>
      <c r="H270" s="12" t="n">
        <f aca="false">SQRT(D270^2+E270^2)</f>
        <v>1.165</v>
      </c>
    </row>
    <row r="271" customFormat="false" ht="15" hidden="false" customHeight="false" outlineLevel="0" collapsed="false">
      <c r="A271" s="12" t="n">
        <f aca="false">269*Inputs!$B$10*Inputs!$B$7</f>
        <v>269</v>
      </c>
      <c r="B271" s="12" t="n">
        <f aca="false">269*Inputs!$B$10</f>
        <v>269</v>
      </c>
      <c r="C271" s="12" t="n">
        <f aca="false">DEGREES(ASIN(MIN(MAX(Inputs!$B$5/Inputs!$B$6*SIN(RADIANS(A271)),-1),1)))</f>
        <v>-12.9519387466261</v>
      </c>
      <c r="D271" s="12" t="n">
        <f aca="false">Inputs!$B$8+Inputs!$B$5*COS(RADIANS(A271))</f>
        <v>-0.0203320534994353</v>
      </c>
      <c r="E271" s="12" t="n">
        <f aca="false">Inputs!$B$9+Inputs!$B$5*SIN(RADIANS(A271))</f>
        <v>-1.1648225648572</v>
      </c>
      <c r="F271" s="12" t="n">
        <f aca="false">-Inputs!$B$6*(1-COS(RADIANS(C271)))</f>
        <v>-0.132219906807453</v>
      </c>
      <c r="G271" s="12" t="n">
        <f aca="false">C271*Inputs!$B$7</f>
        <v>-12.9519387466261</v>
      </c>
      <c r="H271" s="12" t="n">
        <f aca="false">SQRT(D271^2+E271^2)</f>
        <v>1.165</v>
      </c>
    </row>
    <row r="272" customFormat="false" ht="15" hidden="false" customHeight="false" outlineLevel="0" collapsed="false">
      <c r="A272" s="12" t="n">
        <f aca="false">270*Inputs!$B$10*Inputs!$B$7</f>
        <v>270</v>
      </c>
      <c r="B272" s="12" t="n">
        <f aca="false">270*Inputs!$B$10</f>
        <v>270</v>
      </c>
      <c r="C272" s="12" t="n">
        <f aca="false">DEGREES(ASIN(MIN(MAX(Inputs!$B$5/Inputs!$B$6*SIN(RADIANS(A272)),-1),1)))</f>
        <v>-12.9539460056958</v>
      </c>
      <c r="D272" s="12" t="n">
        <f aca="false">Inputs!$B$8+Inputs!$B$5*COS(RADIANS(A272))</f>
        <v>-2.14007028151E-016</v>
      </c>
      <c r="E272" s="12" t="n">
        <f aca="false">Inputs!$B$9+Inputs!$B$5*SIN(RADIANS(A272))</f>
        <v>-1.165</v>
      </c>
      <c r="F272" s="12" t="n">
        <f aca="false">-Inputs!$B$6*(1-COS(RADIANS(C272)))</f>
        <v>-0.132260717470247</v>
      </c>
      <c r="G272" s="12" t="n">
        <f aca="false">C272*Inputs!$B$7</f>
        <v>-12.9539460056958</v>
      </c>
      <c r="H272" s="12" t="n">
        <f aca="false">SQRT(D272^2+E272^2)</f>
        <v>1.165</v>
      </c>
    </row>
    <row r="273" customFormat="false" ht="15" hidden="false" customHeight="false" outlineLevel="0" collapsed="false">
      <c r="A273" s="12" t="n">
        <f aca="false">271*Inputs!$B$10*Inputs!$B$7</f>
        <v>271</v>
      </c>
      <c r="B273" s="12" t="n">
        <f aca="false">271*Inputs!$B$10</f>
        <v>271</v>
      </c>
      <c r="C273" s="12" t="n">
        <f aca="false">DEGREES(ASIN(MIN(MAX(Inputs!$B$5/Inputs!$B$6*SIN(RADIANS(A273)),-1),1)))</f>
        <v>-12.9519387466261</v>
      </c>
      <c r="D273" s="12" t="n">
        <f aca="false">Inputs!$B$8+Inputs!$B$5*COS(RADIANS(A273))</f>
        <v>0.0203320534994348</v>
      </c>
      <c r="E273" s="12" t="n">
        <f aca="false">Inputs!$B$9+Inputs!$B$5*SIN(RADIANS(A273))</f>
        <v>-1.1648225648572</v>
      </c>
      <c r="F273" s="12" t="n">
        <f aca="false">-Inputs!$B$6*(1-COS(RADIANS(C273)))</f>
        <v>-0.132219906807453</v>
      </c>
      <c r="G273" s="12" t="n">
        <f aca="false">C273*Inputs!$B$7</f>
        <v>-12.9519387466261</v>
      </c>
      <c r="H273" s="12" t="n">
        <f aca="false">SQRT(D273^2+E273^2)</f>
        <v>1.165</v>
      </c>
    </row>
    <row r="274" customFormat="false" ht="15" hidden="false" customHeight="false" outlineLevel="0" collapsed="false">
      <c r="A274" s="12" t="n">
        <f aca="false">272*Inputs!$B$10*Inputs!$B$7</f>
        <v>272</v>
      </c>
      <c r="B274" s="12" t="n">
        <f aca="false">272*Inputs!$B$10</f>
        <v>272</v>
      </c>
      <c r="C274" s="12" t="n">
        <f aca="false">DEGREES(ASIN(MIN(MAX(Inputs!$B$5/Inputs!$B$6*SIN(RADIANS(A274)),-1),1)))</f>
        <v>-12.9459176778548</v>
      </c>
      <c r="D274" s="12" t="n">
        <f aca="false">Inputs!$B$8+Inputs!$B$5*COS(RADIANS(A274))</f>
        <v>0.040657913658413</v>
      </c>
      <c r="E274" s="12" t="n">
        <f aca="false">Inputs!$B$9+Inputs!$B$5*SIN(RADIANS(A274))</f>
        <v>-1.16429031347725</v>
      </c>
      <c r="F274" s="12" t="n">
        <f aca="false">-Inputs!$B$6*(1-COS(RADIANS(C274)))</f>
        <v>-0.132097526512178</v>
      </c>
      <c r="G274" s="12" t="n">
        <f aca="false">C274*Inputs!$B$7</f>
        <v>-12.9459176778548</v>
      </c>
      <c r="H274" s="12" t="n">
        <f aca="false">SQRT(D274^2+E274^2)</f>
        <v>1.165</v>
      </c>
    </row>
    <row r="275" customFormat="false" ht="15" hidden="false" customHeight="false" outlineLevel="0" collapsed="false">
      <c r="A275" s="12" t="n">
        <f aca="false">273*Inputs!$B$10*Inputs!$B$7</f>
        <v>273</v>
      </c>
      <c r="B275" s="12" t="n">
        <f aca="false">273*Inputs!$B$10</f>
        <v>273</v>
      </c>
      <c r="C275" s="12" t="n">
        <f aca="false">DEGREES(ASIN(MIN(MAX(Inputs!$B$5/Inputs!$B$6*SIN(RADIANS(A275)),-1),1)))</f>
        <v>-12.9358849241891</v>
      </c>
      <c r="D275" s="12" t="n">
        <f aca="false">Inputs!$B$8+Inputs!$B$5*COS(RADIANS(A275))</f>
        <v>0.0609713890230287</v>
      </c>
      <c r="E275" s="12" t="n">
        <f aca="false">Inputs!$B$9+Inputs!$B$5*SIN(RADIANS(A275))</f>
        <v>-1.16340340798908</v>
      </c>
      <c r="F275" s="12" t="n">
        <f aca="false">-Inputs!$B$6*(1-COS(RADIANS(C275)))</f>
        <v>-0.131893731590679</v>
      </c>
      <c r="G275" s="12" t="n">
        <f aca="false">C275*Inputs!$B$7</f>
        <v>-12.9358849241891</v>
      </c>
      <c r="H275" s="12" t="n">
        <f aca="false">SQRT(D275^2+E275^2)</f>
        <v>1.165</v>
      </c>
    </row>
    <row r="276" customFormat="false" ht="15" hidden="false" customHeight="false" outlineLevel="0" collapsed="false">
      <c r="A276" s="12" t="n">
        <f aca="false">274*Inputs!$B$10*Inputs!$B$7</f>
        <v>274</v>
      </c>
      <c r="B276" s="12" t="n">
        <f aca="false">274*Inputs!$B$10</f>
        <v>274</v>
      </c>
      <c r="C276" s="12" t="n">
        <f aca="false">DEGREES(ASIN(MIN(MAX(Inputs!$B$5/Inputs!$B$6*SIN(RADIANS(A276)),-1),1)))</f>
        <v>-12.9218440252924</v>
      </c>
      <c r="D276" s="12" t="n">
        <f aca="false">Inputs!$B$8+Inputs!$B$5*COS(RADIANS(A276))</f>
        <v>0.0812662919119059</v>
      </c>
      <c r="E276" s="12" t="n">
        <f aca="false">Inputs!$B$9+Inputs!$B$5*SIN(RADIANS(A276))</f>
        <v>-1.1621621185527</v>
      </c>
      <c r="F276" s="12" t="n">
        <f aca="false">-Inputs!$B$6*(1-COS(RADIANS(C276)))</f>
        <v>-0.131608780143323</v>
      </c>
      <c r="G276" s="12" t="n">
        <f aca="false">C276*Inputs!$B$7</f>
        <v>-12.9218440252924</v>
      </c>
      <c r="H276" s="12" t="n">
        <f aca="false">SQRT(D276^2+E276^2)</f>
        <v>1.165</v>
      </c>
    </row>
    <row r="277" customFormat="false" ht="15" hidden="false" customHeight="false" outlineLevel="0" collapsed="false">
      <c r="A277" s="12" t="n">
        <f aca="false">275*Inputs!$B$10*Inputs!$B$7</f>
        <v>275</v>
      </c>
      <c r="B277" s="12" t="n">
        <f aca="false">275*Inputs!$B$10</f>
        <v>275</v>
      </c>
      <c r="C277" s="12" t="n">
        <f aca="false">DEGREES(ASIN(MIN(MAX(Inputs!$B$5/Inputs!$B$6*SIN(RADIANS(A277)),-1),1)))</f>
        <v>-12.9037999331639</v>
      </c>
      <c r="D277" s="12" t="n">
        <f aca="false">Inputs!$B$8+Inputs!$B$5*COS(RADIANS(A277))</f>
        <v>0.101536440301021</v>
      </c>
      <c r="E277" s="12" t="n">
        <f aca="false">Inputs!$B$9+Inputs!$B$5*SIN(RADIANS(A277))</f>
        <v>-1.16056682327688</v>
      </c>
      <c r="F277" s="12" t="n">
        <f aca="false">-Inputs!$B$6*(1-COS(RADIANS(C277)))</f>
        <v>-0.131243033000004</v>
      </c>
      <c r="G277" s="12" t="n">
        <f aca="false">C277*Inputs!$B$7</f>
        <v>-12.9037999331639</v>
      </c>
      <c r="H277" s="12" t="n">
        <f aca="false">SQRT(D277^2+E277^2)</f>
        <v>1.165</v>
      </c>
    </row>
    <row r="278" customFormat="false" ht="15" hidden="false" customHeight="false" outlineLevel="0" collapsed="false">
      <c r="A278" s="12" t="n">
        <f aca="false">276*Inputs!$B$10*Inputs!$B$7</f>
        <v>276</v>
      </c>
      <c r="B278" s="12" t="n">
        <f aca="false">276*Inputs!$B$10</f>
        <v>276</v>
      </c>
      <c r="C278" s="12" t="n">
        <f aca="false">DEGREES(ASIN(MIN(MAX(Inputs!$B$5/Inputs!$B$6*SIN(RADIANS(A278)),-1),1)))</f>
        <v>-12.881759008619</v>
      </c>
      <c r="D278" s="12" t="n">
        <f aca="false">Inputs!$B$8+Inputs!$B$5*COS(RADIANS(A278))</f>
        <v>0.121775659706817</v>
      </c>
      <c r="E278" s="12" t="n">
        <f aca="false">Inputs!$B$9+Inputs!$B$5*SIN(RADIANS(A278))</f>
        <v>-1.15861800810404</v>
      </c>
      <c r="F278" s="12" t="n">
        <f aca="false">-Inputs!$B$6*(1-COS(RADIANS(C278)))</f>
        <v>-0.130796953210716</v>
      </c>
      <c r="G278" s="12" t="n">
        <f aca="false">C278*Inputs!$B$7</f>
        <v>-12.881759008619</v>
      </c>
      <c r="H278" s="12" t="n">
        <f aca="false">SQRT(D278^2+E278^2)</f>
        <v>1.165</v>
      </c>
    </row>
    <row r="279" customFormat="false" ht="15" hidden="false" customHeight="false" outlineLevel="0" collapsed="false">
      <c r="A279" s="12" t="n">
        <f aca="false">277*Inputs!$B$10*Inputs!$B$7</f>
        <v>277</v>
      </c>
      <c r="B279" s="12" t="n">
        <f aca="false">277*Inputs!$B$10</f>
        <v>277</v>
      </c>
      <c r="C279" s="12" t="n">
        <f aca="false">DEGREES(ASIN(MIN(MAX(Inputs!$B$5/Inputs!$B$6*SIN(RADIANS(A279)),-1),1)))</f>
        <v>-12.8557290167774</v>
      </c>
      <c r="D279" s="12" t="n">
        <f aca="false">Inputs!$B$8+Inputs!$B$5*COS(RADIANS(A279))</f>
        <v>0.141977785066997</v>
      </c>
      <c r="E279" s="12" t="n">
        <f aca="false">Inputs!$B$9+Inputs!$B$5*SIN(RADIANS(A279))</f>
        <v>-1.15631626666214</v>
      </c>
      <c r="F279" s="12" t="n">
        <f aca="false">-Inputs!$B$6*(1-COS(RADIANS(C279)))</f>
        <v>-0.130271105392303</v>
      </c>
      <c r="G279" s="12" t="n">
        <f aca="false">C279*Inputs!$B$7</f>
        <v>-12.8557290167774</v>
      </c>
      <c r="H279" s="12" t="n">
        <f aca="false">SQRT(D279^2+E279^2)</f>
        <v>1.165</v>
      </c>
    </row>
    <row r="280" customFormat="false" ht="15" hidden="false" customHeight="false" outlineLevel="0" collapsed="false">
      <c r="A280" s="12" t="n">
        <f aca="false">278*Inputs!$B$10*Inputs!$B$7</f>
        <v>278</v>
      </c>
      <c r="B280" s="12" t="n">
        <f aca="false">278*Inputs!$B$10</f>
        <v>278</v>
      </c>
      <c r="C280" s="12" t="n">
        <f aca="false">DEGREES(ASIN(MIN(MAX(Inputs!$B$5/Inputs!$B$6*SIN(RADIANS(A280)),-1),1)))</f>
        <v>-12.8257191215695</v>
      </c>
      <c r="D280" s="12" t="n">
        <f aca="false">Inputs!$B$8+Inputs!$B$5*COS(RADIANS(A280))</f>
        <v>0.162136662618476</v>
      </c>
      <c r="E280" s="12" t="n">
        <f aca="false">Inputs!$B$9+Inputs!$B$5*SIN(RADIANS(A280))</f>
        <v>-1.15366230008393</v>
      </c>
      <c r="F280" s="12" t="n">
        <f aca="false">-Inputs!$B$6*(1-COS(RADIANS(C280)))</f>
        <v>-0.129666154932649</v>
      </c>
      <c r="G280" s="12" t="n">
        <f aca="false">C280*Inputs!$B$7</f>
        <v>-12.8257191215695</v>
      </c>
      <c r="H280" s="12" t="n">
        <f aca="false">SQRT(D280^2+E280^2)</f>
        <v>1.165</v>
      </c>
    </row>
    <row r="281" customFormat="false" ht="15" hidden="false" customHeight="false" outlineLevel="0" collapsed="false">
      <c r="A281" s="12" t="n">
        <f aca="false">279*Inputs!$B$10*Inputs!$B$7</f>
        <v>279</v>
      </c>
      <c r="B281" s="12" t="n">
        <f aca="false">279*Inputs!$B$10</f>
        <v>279</v>
      </c>
      <c r="C281" s="12" t="n">
        <f aca="false">DEGREES(ASIN(MIN(MAX(Inputs!$B$5/Inputs!$B$6*SIN(RADIANS(A281)),-1),1)))</f>
        <v>-12.7917398792726</v>
      </c>
      <c r="D281" s="12" t="n">
        <f aca="false">Inputs!$B$8+Inputs!$B$5*COS(RADIANS(A281))</f>
        <v>0.182246151771869</v>
      </c>
      <c r="E281" s="12" t="n">
        <f aca="false">Inputs!$B$9+Inputs!$B$5*SIN(RADIANS(A281))</f>
        <v>-1.15065691679334</v>
      </c>
      <c r="F281" s="12" t="n">
        <f aca="false">-Inputs!$B$6*(1-COS(RADIANS(C281)))</f>
        <v>-0.128982867053856</v>
      </c>
      <c r="G281" s="12" t="n">
        <f aca="false">C281*Inputs!$B$7</f>
        <v>-12.7917398792726</v>
      </c>
      <c r="H281" s="12" t="n">
        <f aca="false">SQRT(D281^2+E281^2)</f>
        <v>1.165</v>
      </c>
    </row>
    <row r="282" customFormat="false" ht="15" hidden="false" customHeight="false" outlineLevel="0" collapsed="false">
      <c r="A282" s="12" t="n">
        <f aca="false">280*Inputs!$B$10*Inputs!$B$7</f>
        <v>280</v>
      </c>
      <c r="B282" s="12" t="n">
        <f aca="false">280*Inputs!$B$10</f>
        <v>280</v>
      </c>
      <c r="C282" s="12" t="n">
        <f aca="false">DEGREES(ASIN(MIN(MAX(Inputs!$B$5/Inputs!$B$6*SIN(RADIANS(A282)),-1),1)))</f>
        <v>-12.7538032310919</v>
      </c>
      <c r="D282" s="12" t="n">
        <f aca="false">Inputs!$B$8+Inputs!$B$5*COS(RADIANS(A282))</f>
        <v>0.202300126981973</v>
      </c>
      <c r="E282" s="12" t="n">
        <f aca="false">Inputs!$B$9+Inputs!$B$5*SIN(RADIANS(A282))</f>
        <v>-1.14730103225922</v>
      </c>
      <c r="F282" s="12" t="n">
        <f aca="false">-Inputs!$B$6*(1-COS(RADIANS(C282)))</f>
        <v>-0.128222105736244</v>
      </c>
      <c r="G282" s="12" t="n">
        <f aca="false">C282*Inputs!$B$7</f>
        <v>-12.7538032310919</v>
      </c>
      <c r="H282" s="12" t="n">
        <f aca="false">SQRT(D282^2+E282^2)</f>
        <v>1.165</v>
      </c>
    </row>
    <row r="283" customFormat="false" ht="15" hidden="false" customHeight="false" outlineLevel="0" collapsed="false">
      <c r="A283" s="12" t="n">
        <f aca="false">281*Inputs!$B$10*Inputs!$B$7</f>
        <v>281</v>
      </c>
      <c r="B283" s="12" t="n">
        <f aca="false">281*Inputs!$B$10</f>
        <v>281</v>
      </c>
      <c r="C283" s="12" t="n">
        <f aca="false">DEGREES(ASIN(MIN(MAX(Inputs!$B$5/Inputs!$B$6*SIN(RADIANS(A283)),-1),1)))</f>
        <v>-12.7119224948032</v>
      </c>
      <c r="D283" s="12" t="n">
        <f aca="false">Inputs!$B$8+Inputs!$B$5*COS(RADIANS(A283))</f>
        <v>0.222292479613674</v>
      </c>
      <c r="E283" s="12" t="n">
        <f aca="false">Inputs!$B$9+Inputs!$B$5*SIN(RADIANS(A283))</f>
        <v>-1.14359566871653</v>
      </c>
      <c r="F283" s="12" t="n">
        <f aca="false">-Inputs!$B$6*(1-COS(RADIANS(C283)))</f>
        <v>-0.127384832505253</v>
      </c>
      <c r="G283" s="12" t="n">
        <f aca="false">C283*Inputs!$B$7</f>
        <v>-12.7119224948032</v>
      </c>
      <c r="H283" s="12" t="n">
        <f aca="false">SQRT(D283^2+E283^2)</f>
        <v>1.165</v>
      </c>
    </row>
    <row r="284" customFormat="false" ht="15" hidden="false" customHeight="false" outlineLevel="0" collapsed="false">
      <c r="A284" s="12" t="n">
        <f aca="false">282*Inputs!$B$10*Inputs!$B$7</f>
        <v>282</v>
      </c>
      <c r="B284" s="12" t="n">
        <f aca="false">282*Inputs!$B$10</f>
        <v>282</v>
      </c>
      <c r="C284" s="12" t="n">
        <f aca="false">DEGREES(ASIN(MIN(MAX(Inputs!$B$5/Inputs!$B$6*SIN(RADIANS(A284)),-1),1)))</f>
        <v>-12.6661123554741</v>
      </c>
      <c r="D284" s="12" t="n">
        <f aca="false">Inputs!$B$8+Inputs!$B$5*COS(RADIANS(A284))</f>
        <v>0.24221711980269</v>
      </c>
      <c r="E284" s="12" t="n">
        <f aca="false">Inputs!$B$9+Inputs!$B$5*SIN(RADIANS(A284))</f>
        <v>-1.13954195485488</v>
      </c>
      <c r="F284" s="12" t="n">
        <f aca="false">-Inputs!$B$6*(1-COS(RADIANS(C284)))</f>
        <v>-0.126472105083583</v>
      </c>
      <c r="G284" s="12" t="n">
        <f aca="false">C284*Inputs!$B$7</f>
        <v>-12.6661123554741</v>
      </c>
      <c r="H284" s="12" t="n">
        <f aca="false">SQRT(D284^2+E284^2)</f>
        <v>1.165</v>
      </c>
    </row>
    <row r="285" customFormat="false" ht="15" hidden="false" customHeight="false" outlineLevel="0" collapsed="false">
      <c r="A285" s="12" t="n">
        <f aca="false">283*Inputs!$B$10*Inputs!$B$7</f>
        <v>283</v>
      </c>
      <c r="B285" s="12" t="n">
        <f aca="false">283*Inputs!$B$10</f>
        <v>283</v>
      </c>
      <c r="C285" s="12" t="n">
        <f aca="false">DEGREES(ASIN(MIN(MAX(Inputs!$B$5/Inputs!$B$6*SIN(RADIANS(A285)),-1),1)))</f>
        <v>-12.6163888552857</v>
      </c>
      <c r="D285" s="12" t="n">
        <f aca="false">Inputs!$B$8+Inputs!$B$5*COS(RADIANS(A285))</f>
        <v>0.262067978310603</v>
      </c>
      <c r="E285" s="12" t="n">
        <f aca="false">Inputs!$B$9+Inputs!$B$5*SIN(RADIANS(A285))</f>
        <v>-1.1351411254748</v>
      </c>
      <c r="F285" s="12" t="n">
        <f aca="false">-Inputs!$B$6*(1-COS(RADIANS(C285)))</f>
        <v>-0.125485075911163</v>
      </c>
      <c r="G285" s="12" t="n">
        <f aca="false">C285*Inputs!$B$7</f>
        <v>-12.6163888552857</v>
      </c>
      <c r="H285" s="12" t="n">
        <f aca="false">SQRT(D285^2+E285^2)</f>
        <v>1.165</v>
      </c>
    </row>
    <row r="286" customFormat="false" ht="15" hidden="false" customHeight="false" outlineLevel="0" collapsed="false">
      <c r="A286" s="12" t="n">
        <f aca="false">284*Inputs!$B$10*Inputs!$B$7</f>
        <v>284</v>
      </c>
      <c r="B286" s="12" t="n">
        <f aca="false">284*Inputs!$B$10</f>
        <v>284</v>
      </c>
      <c r="C286" s="12" t="n">
        <f aca="false">DEGREES(ASIN(MIN(MAX(Inputs!$B$5/Inputs!$B$6*SIN(RADIANS(A286)),-1),1)))</f>
        <v>-12.5627693824762</v>
      </c>
      <c r="D286" s="12" t="n">
        <f aca="false">Inputs!$B$8+Inputs!$B$5*COS(RADIANS(A286))</f>
        <v>0.281839008373613</v>
      </c>
      <c r="E286" s="12" t="n">
        <f aca="false">Inputs!$B$9+Inputs!$B$5*SIN(RADIANS(A286))</f>
        <v>-1.13039452111154</v>
      </c>
      <c r="F286" s="12" t="n">
        <f aca="false">-Inputs!$B$6*(1-COS(RADIANS(C286)))</f>
        <v>-0.124424990535771</v>
      </c>
      <c r="G286" s="12" t="n">
        <f aca="false">C286*Inputs!$B$7</f>
        <v>-12.5627693824762</v>
      </c>
      <c r="H286" s="12" t="n">
        <f aca="false">SQRT(D286^2+E286^2)</f>
        <v>1.165</v>
      </c>
    </row>
    <row r="287" customFormat="false" ht="15" hidden="false" customHeight="false" outlineLevel="0" collapsed="false">
      <c r="A287" s="12" t="n">
        <f aca="false">285*Inputs!$B$10*Inputs!$B$7</f>
        <v>285</v>
      </c>
      <c r="B287" s="12" t="n">
        <f aca="false">285*Inputs!$B$10</f>
        <v>285</v>
      </c>
      <c r="C287" s="12" t="n">
        <f aca="false">DEGREES(ASIN(MIN(MAX(Inputs!$B$5/Inputs!$B$6*SIN(RADIANS(A287)),-1),1)))</f>
        <v>-12.5052726594297</v>
      </c>
      <c r="D287" s="12" t="n">
        <f aca="false">Inputs!$B$8+Inputs!$B$5*COS(RADIANS(A287))</f>
        <v>0.301524187544436</v>
      </c>
      <c r="E287" s="12" t="n">
        <f aca="false">Inputs!$B$9+Inputs!$B$5*SIN(RADIANS(A287))</f>
        <v>-1.12530358762676</v>
      </c>
      <c r="F287" s="12" t="n">
        <f aca="false">-Inputs!$B$6*(1-COS(RADIANS(C287)))</f>
        <v>-0.123293185877378</v>
      </c>
      <c r="G287" s="12" t="n">
        <f aca="false">C287*Inputs!$B$7</f>
        <v>-12.5052726594297</v>
      </c>
      <c r="H287" s="12" t="n">
        <f aca="false">SQRT(D287^2+E287^2)</f>
        <v>1.165</v>
      </c>
    </row>
    <row r="288" customFormat="false" ht="15" hidden="false" customHeight="false" outlineLevel="0" collapsed="false">
      <c r="A288" s="12" t="n">
        <f aca="false">286*Inputs!$B$10*Inputs!$B$7</f>
        <v>286</v>
      </c>
      <c r="B288" s="12" t="n">
        <f aca="false">286*Inputs!$B$10</f>
        <v>286</v>
      </c>
      <c r="C288" s="12" t="n">
        <f aca="false">DEGREES(ASIN(MIN(MAX(Inputs!$B$5/Inputs!$B$6*SIN(RADIANS(A288)),-1),1)))</f>
        <v>-12.4439187299377</v>
      </c>
      <c r="D288" s="12" t="n">
        <f aca="false">Inputs!$B$8+Inputs!$B$5*COS(RADIANS(A288))</f>
        <v>0.321117519526803</v>
      </c>
      <c r="E288" s="12" t="n">
        <f aca="false">Inputs!$B$9+Inputs!$B$5*SIN(RADIANS(A288))</f>
        <v>-1.11986987576814</v>
      </c>
      <c r="F288" s="12" t="n">
        <f aca="false">-Inputs!$B$6*(1-COS(RADIANS(C288)))</f>
        <v>-0.122091088369462</v>
      </c>
      <c r="G288" s="12" t="n">
        <f aca="false">C288*Inputs!$B$7</f>
        <v>-12.4439187299377</v>
      </c>
      <c r="H288" s="12" t="n">
        <f aca="false">SQRT(D288^2+E288^2)</f>
        <v>1.165</v>
      </c>
    </row>
    <row r="289" customFormat="false" ht="15" hidden="false" customHeight="false" outlineLevel="0" collapsed="false">
      <c r="A289" s="12" t="n">
        <f aca="false">287*Inputs!$B$10*Inputs!$B$7</f>
        <v>287</v>
      </c>
      <c r="B289" s="12" t="n">
        <f aca="false">287*Inputs!$B$10</f>
        <v>287</v>
      </c>
      <c r="C289" s="12" t="n">
        <f aca="false">DEGREES(ASIN(MIN(MAX(Inputs!$B$5/Inputs!$B$6*SIN(RADIANS(A289)),-1),1)))</f>
        <v>-12.3787289456573</v>
      </c>
      <c r="D289" s="12" t="n">
        <f aca="false">Inputs!$B$8+Inputs!$B$5*COS(RADIANS(A289))</f>
        <v>0.340613036001988</v>
      </c>
      <c r="E289" s="12" t="n">
        <f aca="false">Inputs!$B$9+Inputs!$B$5*SIN(RADIANS(A289))</f>
        <v>-1.11409504069694</v>
      </c>
      <c r="F289" s="12" t="n">
        <f aca="false">-Inputs!$B$6*(1-COS(RADIANS(C289)))</f>
        <v>-0.120820211980815</v>
      </c>
      <c r="G289" s="12" t="n">
        <f aca="false">C289*Inputs!$B$7</f>
        <v>-12.3787289456573</v>
      </c>
      <c r="H289" s="12" t="n">
        <f aca="false">SQRT(D289^2+E289^2)</f>
        <v>1.165</v>
      </c>
    </row>
    <row r="290" customFormat="false" ht="15" hidden="false" customHeight="false" outlineLevel="0" collapsed="false">
      <c r="A290" s="12" t="n">
        <f aca="false">288*Inputs!$B$10*Inputs!$B$7</f>
        <v>288</v>
      </c>
      <c r="B290" s="12" t="n">
        <f aca="false">288*Inputs!$B$10</f>
        <v>288</v>
      </c>
      <c r="C290" s="12" t="n">
        <f aca="false">DEGREES(ASIN(MIN(MAX(Inputs!$B$5/Inputs!$B$6*SIN(RADIANS(A290)),-1),1)))</f>
        <v>-12.3097259517984</v>
      </c>
      <c r="D290" s="12" t="n">
        <f aca="false">Inputs!$B$8+Inputs!$B$5*COS(RADIANS(A290))</f>
        <v>0.360004798446814</v>
      </c>
      <c r="E290" s="12" t="n">
        <f aca="false">Inputs!$B$9+Inputs!$B$5*SIN(RADIANS(A290))</f>
        <v>-1.10798084148385</v>
      </c>
      <c r="F290" s="12" t="n">
        <f aca="false">-Inputs!$B$6*(1-COS(RADIANS(C290)))</f>
        <v>-0.119482156121484</v>
      </c>
      <c r="G290" s="12" t="n">
        <f aca="false">C290*Inputs!$B$7</f>
        <v>-12.3097259517984</v>
      </c>
      <c r="H290" s="12" t="n">
        <f aca="false">SQRT(D290^2+E290^2)</f>
        <v>1.165</v>
      </c>
    </row>
    <row r="291" customFormat="false" ht="15" hidden="false" customHeight="false" outlineLevel="0" collapsed="false">
      <c r="A291" s="12" t="n">
        <f aca="false">289*Inputs!$B$10*Inputs!$B$7</f>
        <v>289</v>
      </c>
      <c r="B291" s="12" t="n">
        <f aca="false">289*Inputs!$B$10</f>
        <v>289</v>
      </c>
      <c r="C291" s="12" t="n">
        <f aca="false">DEGREES(ASIN(MIN(MAX(Inputs!$B$5/Inputs!$B$6*SIN(RADIANS(A291)),-1),1)))</f>
        <v>-12.2369336720656</v>
      </c>
      <c r="D291" s="12" t="n">
        <f aca="false">Inputs!$B$8+Inputs!$B$5*COS(RADIANS(A291))</f>
        <v>0.379286899942587</v>
      </c>
      <c r="E291" s="12" t="n">
        <f aca="false">Inputs!$B$9+Inputs!$B$5*SIN(RADIANS(A291))</f>
        <v>-1.1015291405732</v>
      </c>
      <c r="F291" s="12" t="n">
        <f aca="false">-Inputs!$B$6*(1-COS(RADIANS(C291)))</f>
        <v>-0.118078603436744</v>
      </c>
      <c r="G291" s="12" t="n">
        <f aca="false">C291*Inputs!$B$7</f>
        <v>-12.2369336720656</v>
      </c>
      <c r="H291" s="12" t="n">
        <f aca="false">SQRT(D291^2+E291^2)</f>
        <v>1.165</v>
      </c>
    </row>
    <row r="292" customFormat="false" ht="15" hidden="false" customHeight="false" outlineLevel="0" collapsed="false">
      <c r="A292" s="12" t="n">
        <f aca="false">290*Inputs!$B$10*Inputs!$B$7</f>
        <v>290</v>
      </c>
      <c r="B292" s="12" t="n">
        <f aca="false">290*Inputs!$B$10</f>
        <v>290</v>
      </c>
      <c r="C292" s="12" t="n">
        <f aca="false">DEGREES(ASIN(MIN(MAX(Inputs!$B$5/Inputs!$B$6*SIN(RADIANS(A292)),-1),1)))</f>
        <v>-12.1603772928898</v>
      </c>
      <c r="D292" s="12" t="n">
        <f aca="false">Inputs!$B$8+Inputs!$B$5*COS(RADIANS(A292))</f>
        <v>0.398453466974404</v>
      </c>
      <c r="E292" s="12" t="n">
        <f aca="false">Inputs!$B$9+Inputs!$B$5*SIN(RADIANS(A292))</f>
        <v>-1.09474190321558</v>
      </c>
      <c r="F292" s="12" t="n">
        <f aca="false">-Inputs!$B$6*(1-COS(RADIANS(C292)))</f>
        <v>-0.116611317493127</v>
      </c>
      <c r="G292" s="12" t="n">
        <f aca="false">C292*Inputs!$B$7</f>
        <v>-12.1603772928898</v>
      </c>
      <c r="H292" s="12" t="n">
        <f aca="false">SQRT(D292^2+E292^2)</f>
        <v>1.165</v>
      </c>
    </row>
    <row r="293" customFormat="false" ht="15" hidden="false" customHeight="false" outlineLevel="0" collapsed="false">
      <c r="A293" s="12" t="n">
        <f aca="false">291*Inputs!$B$10*Inputs!$B$7</f>
        <v>291</v>
      </c>
      <c r="B293" s="12" t="n">
        <f aca="false">291*Inputs!$B$10</f>
        <v>291</v>
      </c>
      <c r="C293" s="12" t="n">
        <f aca="false">DEGREES(ASIN(MIN(MAX(Inputs!$B$5/Inputs!$B$6*SIN(RADIANS(A293)),-1),1)))</f>
        <v>-12.0800832469791</v>
      </c>
      <c r="D293" s="12" t="n">
        <f aca="false">Inputs!$B$8+Inputs!$B$5*COS(RADIANS(A293))</f>
        <v>0.417498661220275</v>
      </c>
      <c r="E293" s="12" t="n">
        <f aca="false">Inputs!$B$9+Inputs!$B$5*SIN(RADIANS(A293))</f>
        <v>-1.08762119686924</v>
      </c>
      <c r="F293" s="12" t="n">
        <f aca="false">-Inputs!$B$6*(1-COS(RADIANS(C293)))</f>
        <v>-0.115082140360716</v>
      </c>
      <c r="G293" s="12" t="n">
        <f aca="false">C293*Inputs!$B$7</f>
        <v>-12.0800832469791</v>
      </c>
      <c r="H293" s="12" t="n">
        <f aca="false">SQRT(D293^2+E293^2)</f>
        <v>1.165</v>
      </c>
    </row>
    <row r="294" customFormat="false" ht="15" hidden="false" customHeight="false" outlineLevel="0" collapsed="false">
      <c r="A294" s="12" t="n">
        <f aca="false">292*Inputs!$B$10*Inputs!$B$7</f>
        <v>292</v>
      </c>
      <c r="B294" s="12" t="n">
        <f aca="false">292*Inputs!$B$10</f>
        <v>292</v>
      </c>
      <c r="C294" s="12" t="n">
        <f aca="false">DEGREES(ASIN(MIN(MAX(Inputs!$B$5/Inputs!$B$6*SIN(RADIANS(A294)),-1),1)))</f>
        <v>-11.9960791962229</v>
      </c>
      <c r="D294" s="12" t="n">
        <f aca="false">Inputs!$B$8+Inputs!$B$5*COS(RADIANS(A294))</f>
        <v>0.436416681329537</v>
      </c>
      <c r="E294" s="12" t="n">
        <f aca="false">Inputs!$B$9+Inputs!$B$5*SIN(RADIANS(A294))</f>
        <v>-1.08016919057031</v>
      </c>
      <c r="F294" s="12" t="n">
        <f aca="false">-Inputs!$B$6*(1-COS(RADIANS(C294)))</f>
        <v>-0.113492990096041</v>
      </c>
      <c r="G294" s="12" t="n">
        <f aca="false">C294*Inputs!$B$7</f>
        <v>-11.9960791962229</v>
      </c>
      <c r="H294" s="12" t="n">
        <f aca="false">SQRT(D294^2+E294^2)</f>
        <v>1.165</v>
      </c>
    </row>
    <row r="295" customFormat="false" ht="15" hidden="false" customHeight="false" outlineLevel="0" collapsed="false">
      <c r="A295" s="12" t="n">
        <f aca="false">293*Inputs!$B$10*Inputs!$B$7</f>
        <v>293</v>
      </c>
      <c r="B295" s="12" t="n">
        <f aca="false">293*Inputs!$B$10</f>
        <v>293</v>
      </c>
      <c r="C295" s="12" t="n">
        <f aca="false">DEGREES(ASIN(MIN(MAX(Inputs!$B$5/Inputs!$B$6*SIN(RADIANS(A295)),-1),1)))</f>
        <v>-11.9083940139834</v>
      </c>
      <c r="D295" s="12" t="n">
        <f aca="false">Inputs!$B$8+Inputs!$B$5*COS(RADIANS(A295))</f>
        <v>0.455201764690004</v>
      </c>
      <c r="E295" s="12" t="n">
        <f aca="false">Inputs!$B$9+Inputs!$B$5*SIN(RADIANS(A295))</f>
        <v>-1.07238815427209</v>
      </c>
      <c r="F295" s="12" t="n">
        <f aca="false">-Inputs!$B$6*(1-COS(RADIANS(C295)))</f>
        <v>-0.111845858130071</v>
      </c>
      <c r="G295" s="12" t="n">
        <f aca="false">C295*Inputs!$B$7</f>
        <v>-11.9083940139834</v>
      </c>
      <c r="H295" s="12" t="n">
        <f aca="false">SQRT(D295^2+E295^2)</f>
        <v>1.165</v>
      </c>
    </row>
    <row r="296" customFormat="false" ht="15" hidden="false" customHeight="false" outlineLevel="0" collapsed="false">
      <c r="A296" s="12" t="n">
        <f aca="false">294*Inputs!$B$10*Inputs!$B$7</f>
        <v>294</v>
      </c>
      <c r="B296" s="12" t="n">
        <f aca="false">294*Inputs!$B$10</f>
        <v>294</v>
      </c>
      <c r="C296" s="12" t="n">
        <f aca="false">DEGREES(ASIN(MIN(MAX(Inputs!$B$5/Inputs!$B$6*SIN(RADIANS(A296)),-1),1)))</f>
        <v>-11.8170577668095</v>
      </c>
      <c r="D296" s="12" t="n">
        <f aca="false">Inputs!$B$8+Inputs!$B$5*COS(RADIANS(A296))</f>
        <v>0.473848189183307</v>
      </c>
      <c r="E296" s="12" t="n">
        <f aca="false">Inputs!$B$9+Inputs!$B$5*SIN(RADIANS(A296))</f>
        <v>-1.06428045815363</v>
      </c>
      <c r="F296" s="12" t="n">
        <f aca="false">-Inputs!$B$6*(1-COS(RADIANS(C296)))</f>
        <v>-0.110142806565895</v>
      </c>
      <c r="G296" s="12" t="n">
        <f aca="false">C296*Inputs!$B$7</f>
        <v>-11.8170577668095</v>
      </c>
      <c r="H296" s="12" t="n">
        <f aca="false">SQRT(D296^2+E296^2)</f>
        <v>1.165</v>
      </c>
    </row>
    <row r="297" customFormat="false" ht="15" hidden="false" customHeight="false" outlineLevel="0" collapsed="false">
      <c r="A297" s="12" t="n">
        <f aca="false">295*Inputs!$B$10*Inputs!$B$7</f>
        <v>295</v>
      </c>
      <c r="B297" s="12" t="n">
        <f aca="false">295*Inputs!$B$10</f>
        <v>295</v>
      </c>
      <c r="C297" s="12" t="n">
        <f aca="false">DEGREES(ASIN(MIN(MAX(Inputs!$B$5/Inputs!$B$6*SIN(RADIANS(A297)),-1),1)))</f>
        <v>-11.7221016956075</v>
      </c>
      <c r="D297" s="12" t="n">
        <f aca="false">Inputs!$B$8+Inputs!$B$5*COS(RADIANS(A297))</f>
        <v>0.492350274927914</v>
      </c>
      <c r="E297" s="12" t="n">
        <f aca="false">Inputs!$B$9+Inputs!$B$5*SIN(RADIANS(A297))</f>
        <v>-1.0558485718977</v>
      </c>
      <c r="F297" s="12" t="n">
        <f aca="false">-Inputs!$B$6*(1-COS(RADIANS(C297)))</f>
        <v>-0.108385965390812</v>
      </c>
      <c r="G297" s="12" t="n">
        <f aca="false">C297*Inputs!$B$7</f>
        <v>-11.7221016956075</v>
      </c>
      <c r="H297" s="12" t="n">
        <f aca="false">SQRT(D297^2+E297^2)</f>
        <v>1.165</v>
      </c>
    </row>
    <row r="298" customFormat="false" ht="15" hidden="false" customHeight="false" outlineLevel="0" collapsed="false">
      <c r="A298" s="12" t="n">
        <f aca="false">296*Inputs!$B$10*Inputs!$B$7</f>
        <v>296</v>
      </c>
      <c r="B298" s="12" t="n">
        <f aca="false">296*Inputs!$B$10</f>
        <v>296</v>
      </c>
      <c r="C298" s="12" t="n">
        <f aca="false">DEGREES(ASIN(MIN(MAX(Inputs!$B$5/Inputs!$B$6*SIN(RADIANS(A298)),-1),1)))</f>
        <v>-11.6235581963057</v>
      </c>
      <c r="D298" s="12" t="n">
        <f aca="false">Inputs!$B$8+Inputs!$B$5*COS(RADIANS(A298))</f>
        <v>0.510702386009275</v>
      </c>
      <c r="E298" s="12" t="n">
        <f aca="false">Inputs!$B$9+Inputs!$B$5*SIN(RADIANS(A298))</f>
        <v>-1.04709506393853</v>
      </c>
      <c r="F298" s="12" t="n">
        <f aca="false">-Inputs!$B$6*(1-COS(RADIANS(C298)))</f>
        <v>-0.106577529607629</v>
      </c>
      <c r="G298" s="12" t="n">
        <f aca="false">C298*Inputs!$B$7</f>
        <v>-11.6235581963057</v>
      </c>
      <c r="H298" s="12" t="n">
        <f aca="false">SQRT(D298^2+E298^2)</f>
        <v>1.165</v>
      </c>
    </row>
    <row r="299" customFormat="false" ht="15" hidden="false" customHeight="false" outlineLevel="0" collapsed="false">
      <c r="A299" s="12" t="n">
        <f aca="false">297*Inputs!$B$10*Inputs!$B$7</f>
        <v>297</v>
      </c>
      <c r="B299" s="12" t="n">
        <f aca="false">297*Inputs!$B$10</f>
        <v>297</v>
      </c>
      <c r="C299" s="12" t="n">
        <f aca="false">DEGREES(ASIN(MIN(MAX(Inputs!$B$5/Inputs!$B$6*SIN(RADIANS(A299)),-1),1)))</f>
        <v>-11.5214608000484</v>
      </c>
      <c r="D299" s="12" t="n">
        <f aca="false">Inputs!$B$8+Inputs!$B$5*COS(RADIANS(A299))</f>
        <v>0.528898932196572</v>
      </c>
      <c r="E299" s="12" t="n">
        <f aca="false">Inputs!$B$9+Inputs!$B$5*SIN(RADIANS(A299))</f>
        <v>-1.03802260067945</v>
      </c>
      <c r="F299" s="12" t="n">
        <f aca="false">-Inputs!$B$6*(1-COS(RADIANS(C299)))</f>
        <v>-0.10471975629005</v>
      </c>
      <c r="G299" s="12" t="n">
        <f aca="false">C299*Inputs!$B$7</f>
        <v>-11.5214608000484</v>
      </c>
      <c r="H299" s="12" t="n">
        <f aca="false">SQRT(D299^2+E299^2)</f>
        <v>1.165</v>
      </c>
    </row>
    <row r="300" customFormat="false" ht="15" hidden="false" customHeight="false" outlineLevel="0" collapsed="false">
      <c r="A300" s="12" t="n">
        <f aca="false">298*Inputs!$B$10*Inputs!$B$7</f>
        <v>298</v>
      </c>
      <c r="B300" s="12" t="n">
        <f aca="false">298*Inputs!$B$10</f>
        <v>298</v>
      </c>
      <c r="C300" s="12" t="n">
        <f aca="false">DEGREES(ASIN(MIN(MAX(Inputs!$B$5/Inputs!$B$6*SIN(RADIANS(A300)),-1),1)))</f>
        <v>-11.4158441529558</v>
      </c>
      <c r="D300" s="12" t="n">
        <f aca="false">Inputs!$B$8+Inputs!$B$5*COS(RADIANS(A300))</f>
        <v>0.546934370645562</v>
      </c>
      <c r="E300" s="12" t="n">
        <f aca="false">Inputs!$B$9+Inputs!$B$5*SIN(RADIANS(A300))</f>
        <v>-1.02863394568065</v>
      </c>
      <c r="F300" s="12" t="n">
        <f aca="false">-Inputs!$B$6*(1-COS(RADIANS(C300)))</f>
        <v>-0.102814961567115</v>
      </c>
      <c r="G300" s="12" t="n">
        <f aca="false">C300*Inputs!$B$7</f>
        <v>-11.4158441529558</v>
      </c>
      <c r="H300" s="12" t="n">
        <f aca="false">SQRT(D300^2+E300^2)</f>
        <v>1.165</v>
      </c>
    </row>
    <row r="301" customFormat="false" ht="15" hidden="false" customHeight="false" outlineLevel="0" collapsed="false">
      <c r="A301" s="12" t="n">
        <f aca="false">299*Inputs!$B$10*Inputs!$B$7</f>
        <v>299</v>
      </c>
      <c r="B301" s="12" t="n">
        <f aca="false">299*Inputs!$B$10</f>
        <v>299</v>
      </c>
      <c r="C301" s="12" t="n">
        <f aca="false">DEGREES(ASIN(MIN(MAX(Inputs!$B$5/Inputs!$B$6*SIN(RADIANS(A301)),-1),1)))</f>
        <v>-11.3067439954866</v>
      </c>
      <c r="D301" s="12" t="n">
        <f aca="false">Inputs!$B$8+Inputs!$B$5*COS(RADIANS(A301))</f>
        <v>0.564803207586983</v>
      </c>
      <c r="E301" s="12" t="n">
        <f aca="false">Inputs!$B$9+Inputs!$B$5*SIN(RADIANS(A301))</f>
        <v>-1.0189319588174</v>
      </c>
      <c r="F301" s="12" t="n">
        <f aca="false">-Inputs!$B$6*(1-COS(RADIANS(C301)))</f>
        <v>-0.100865517541698</v>
      </c>
      <c r="G301" s="12" t="n">
        <f aca="false">C301*Inputs!$B$7</f>
        <v>-11.3067439954866</v>
      </c>
      <c r="H301" s="12" t="n">
        <f aca="false">SQRT(D301^2+E301^2)</f>
        <v>1.165</v>
      </c>
    </row>
    <row r="302" customFormat="false" ht="15" hidden="false" customHeight="false" outlineLevel="0" collapsed="false">
      <c r="A302" s="12" t="n">
        <f aca="false">300*Inputs!$B$10*Inputs!$B$7</f>
        <v>300</v>
      </c>
      <c r="B302" s="12" t="n">
        <f aca="false">300*Inputs!$B$10</f>
        <v>300</v>
      </c>
      <c r="C302" s="12" t="n">
        <f aca="false">DEGREES(ASIN(MIN(MAX(Inputs!$B$5/Inputs!$B$6*SIN(RADIANS(A302)),-1),1)))</f>
        <v>-11.1941971414408</v>
      </c>
      <c r="D302" s="12" t="n">
        <f aca="false">Inputs!$B$8+Inputs!$B$5*COS(RADIANS(A302))</f>
        <v>0.5825</v>
      </c>
      <c r="E302" s="12" t="n">
        <f aca="false">Inputs!$B$9+Inputs!$B$5*SIN(RADIANS(A302))</f>
        <v>-1.00891959540887</v>
      </c>
      <c r="F302" s="12" t="n">
        <f aca="false">-Inputs!$B$6*(1-COS(RADIANS(C302)))</f>
        <v>-0.0988738491481011</v>
      </c>
      <c r="G302" s="12" t="n">
        <f aca="false">C302*Inputs!$B$7</f>
        <v>-11.1941971414408</v>
      </c>
      <c r="H302" s="12" t="n">
        <f aca="false">SQRT(D302^2+E302^2)</f>
        <v>1.165</v>
      </c>
    </row>
    <row r="303" customFormat="false" ht="15" hidden="false" customHeight="false" outlineLevel="0" collapsed="false">
      <c r="A303" s="12" t="n">
        <f aca="false">301*Inputs!$B$10*Inputs!$B$7</f>
        <v>301</v>
      </c>
      <c r="B303" s="12" t="n">
        <f aca="false">301*Inputs!$B$10</f>
        <v>301</v>
      </c>
      <c r="C303" s="12" t="n">
        <f aca="false">DEGREES(ASIN(MIN(MAX(Inputs!$B$5/Inputs!$B$6*SIN(RADIANS(A303)),-1),1)))</f>
        <v>-11.0782414566374</v>
      </c>
      <c r="D303" s="12" t="n">
        <f aca="false">Inputs!$B$8+Inputs!$B$5*COS(RADIANS(A303))</f>
        <v>0.600019357270213</v>
      </c>
      <c r="E303" s="12" t="n">
        <f aca="false">Inputs!$B$9+Inputs!$B$5*SIN(RADIANS(A303))</f>
        <v>-0.998599905317961</v>
      </c>
      <c r="F303" s="12" t="n">
        <f aca="false">-Inputs!$B$6*(1-COS(RADIANS(C303)))</f>
        <v>-0.096842430953828</v>
      </c>
      <c r="G303" s="12" t="n">
        <f aca="false">C303*Inputs!$B$7</f>
        <v>-11.0782414566374</v>
      </c>
      <c r="H303" s="12" t="n">
        <f aca="false">SQRT(D303^2+E303^2)</f>
        <v>1.165</v>
      </c>
    </row>
    <row r="304" customFormat="false" ht="15" hidden="false" customHeight="false" outlineLevel="0" collapsed="false">
      <c r="A304" s="12" t="n">
        <f aca="false">302*Inputs!$B$10*Inputs!$B$7</f>
        <v>302</v>
      </c>
      <c r="B304" s="12" t="n">
        <f aca="false">302*Inputs!$B$10</f>
        <v>302</v>
      </c>
      <c r="C304" s="12" t="n">
        <f aca="false">DEGREES(ASIN(MIN(MAX(Inputs!$B$5/Inputs!$B$6*SIN(RADIANS(A304)),-1),1)))</f>
        <v>-10.9589158373049</v>
      </c>
      <c r="D304" s="12" t="n">
        <f aca="false">Inputs!$B$8+Inputs!$B$5*COS(RADIANS(A304))</f>
        <v>0.617355942831684</v>
      </c>
      <c r="E304" s="12" t="n">
        <f aca="false">Inputs!$B$9+Inputs!$B$5*SIN(RADIANS(A304))</f>
        <v>-0.987976032022237</v>
      </c>
      <c r="F304" s="12" t="n">
        <f aca="false">-Inputs!$B$6*(1-COS(RADIANS(C304)))</f>
        <v>-0.0947737839106353</v>
      </c>
      <c r="G304" s="12" t="n">
        <f aca="false">C304*Inputs!$B$7</f>
        <v>-10.9589158373049</v>
      </c>
      <c r="H304" s="12" t="n">
        <f aca="false">SQRT(D304^2+E304^2)</f>
        <v>1.165</v>
      </c>
    </row>
    <row r="305" customFormat="false" ht="15" hidden="false" customHeight="false" outlineLevel="0" collapsed="false">
      <c r="A305" s="12" t="n">
        <f aca="false">303*Inputs!$B$10*Inputs!$B$7</f>
        <v>303</v>
      </c>
      <c r="B305" s="12" t="n">
        <f aca="false">303*Inputs!$B$10</f>
        <v>303</v>
      </c>
      <c r="C305" s="12" t="n">
        <f aca="false">DEGREES(ASIN(MIN(MAX(Inputs!$B$5/Inputs!$B$6*SIN(RADIANS(A305)),-1),1)))</f>
        <v>-10.8362601882202</v>
      </c>
      <c r="D305" s="12" t="n">
        <f aca="false">Inputs!$B$8+Inputs!$B$5*COS(RADIANS(A305))</f>
        <v>0.634504475792506</v>
      </c>
      <c r="E305" s="12" t="n">
        <f aca="false">Inputs!$B$9+Inputs!$B$5*SIN(RADIANS(A305))</f>
        <v>-0.977051211656419</v>
      </c>
      <c r="F305" s="12" t="n">
        <f aca="false">-Inputs!$B$6*(1-COS(RADIANS(C305)))</f>
        <v>-0.0926704720599472</v>
      </c>
      <c r="G305" s="12" t="n">
        <f aca="false">C305*Inputs!$B$7</f>
        <v>-10.8362601882202</v>
      </c>
      <c r="H305" s="12" t="n">
        <f aca="false">SQRT(D305^2+E305^2)</f>
        <v>1.165</v>
      </c>
    </row>
    <row r="306" customFormat="false" ht="15" hidden="false" customHeight="false" outlineLevel="0" collapsed="false">
      <c r="A306" s="12" t="n">
        <f aca="false">304*Inputs!$B$10*Inputs!$B$7</f>
        <v>304</v>
      </c>
      <c r="B306" s="12" t="n">
        <f aca="false">304*Inputs!$B$10</f>
        <v>304</v>
      </c>
      <c r="C306" s="12" t="n">
        <f aca="false">DEGREES(ASIN(MIN(MAX(Inputs!$B$5/Inputs!$B$6*SIN(RADIANS(A306)),-1),1)))</f>
        <v>-10.7103154006313</v>
      </c>
      <c r="D306" s="12" t="n">
        <f aca="false">Inputs!$B$8+Inputs!$B$5*COS(RADIANS(A306))</f>
        <v>0.65145973254342</v>
      </c>
      <c r="E306" s="12" t="n">
        <f aca="false">Inputs!$B$9+Inputs!$B$5*SIN(RADIANS(A306))</f>
        <v>-0.965828772026624</v>
      </c>
      <c r="F306" s="12" t="n">
        <f aca="false">-Inputs!$B$6*(1-COS(RADIANS(C306)))</f>
        <v>-0.0905350991977294</v>
      </c>
      <c r="G306" s="12" t="n">
        <f aca="false">C306*Inputs!$B$7</f>
        <v>-10.7103154006313</v>
      </c>
      <c r="H306" s="12" t="n">
        <f aca="false">SQRT(D306^2+E306^2)</f>
        <v>1.165</v>
      </c>
    </row>
    <row r="307" customFormat="false" ht="15" hidden="false" customHeight="false" outlineLevel="0" collapsed="false">
      <c r="A307" s="12" t="n">
        <f aca="false">305*Inputs!$B$10*Inputs!$B$7</f>
        <v>305</v>
      </c>
      <c r="B307" s="12" t="n">
        <f aca="false">305*Inputs!$B$10</f>
        <v>305</v>
      </c>
      <c r="C307" s="12" t="n">
        <f aca="false">DEGREES(ASIN(MIN(MAX(Inputs!$B$5/Inputs!$B$6*SIN(RADIANS(A307)),-1),1)))</f>
        <v>-10.5811233299994</v>
      </c>
      <c r="D307" s="12" t="n">
        <f aca="false">Inputs!$B$8+Inputs!$B$5*COS(RADIANS(A307))</f>
        <v>0.668216548348969</v>
      </c>
      <c r="E307" s="12" t="n">
        <f aca="false">Inputs!$B$9+Inputs!$B$5*SIN(RADIANS(A307))</f>
        <v>-0.954312131596676</v>
      </c>
      <c r="F307" s="12" t="n">
        <f aca="false">-Inputs!$B$6*(1-COS(RADIANS(C307)))</f>
        <v>-0.088370305503891</v>
      </c>
      <c r="G307" s="12" t="n">
        <f aca="false">C307*Inputs!$B$7</f>
        <v>-10.5811233299994</v>
      </c>
      <c r="H307" s="12" t="n">
        <f aca="false">SQRT(D307^2+E307^2)</f>
        <v>1.165</v>
      </c>
    </row>
    <row r="308" customFormat="false" ht="15" hidden="false" customHeight="false" outlineLevel="0" collapsed="false">
      <c r="A308" s="12" t="n">
        <f aca="false">306*Inputs!$B$10*Inputs!$B$7</f>
        <v>306</v>
      </c>
      <c r="B308" s="12" t="n">
        <f aca="false">306*Inputs!$B$10</f>
        <v>306</v>
      </c>
      <c r="C308" s="12" t="n">
        <f aca="false">DEGREES(ASIN(MIN(MAX(Inputs!$B$5/Inputs!$B$6*SIN(RADIANS(A308)),-1),1)))</f>
        <v>-10.4487267735937</v>
      </c>
      <c r="D308" s="12" t="n">
        <f aca="false">Inputs!$B$8+Inputs!$B$5*COS(RADIANS(A308))</f>
        <v>0.684769818920731</v>
      </c>
      <c r="E308" s="12" t="n">
        <f aca="false">Inputs!$B$9+Inputs!$B$5*SIN(RADIANS(A308))</f>
        <v>-0.942504798446814</v>
      </c>
      <c r="F308" s="12" t="n">
        <f aca="false">-Inputs!$B$6*(1-COS(RADIANS(C308)))</f>
        <v>-0.0861787641412527</v>
      </c>
      <c r="G308" s="12" t="n">
        <f aca="false">C308*Inputs!$B$7</f>
        <v>-10.4487267735937</v>
      </c>
      <c r="H308" s="12" t="n">
        <f aca="false">SQRT(D308^2+E308^2)</f>
        <v>1.165</v>
      </c>
    </row>
    <row r="309" customFormat="false" ht="15" hidden="false" customHeight="false" outlineLevel="0" collapsed="false">
      <c r="A309" s="12" t="n">
        <f aca="false">307*Inputs!$B$10*Inputs!$B$7</f>
        <v>307</v>
      </c>
      <c r="B309" s="12" t="n">
        <f aca="false">307*Inputs!$B$10</f>
        <v>307</v>
      </c>
      <c r="C309" s="12" t="n">
        <f aca="false">DEGREES(ASIN(MIN(MAX(Inputs!$B$5/Inputs!$B$6*SIN(RADIANS(A309)),-1),1)))</f>
        <v>-10.3131694479746</v>
      </c>
      <c r="D309" s="12" t="n">
        <f aca="false">Inputs!$B$8+Inputs!$B$5*COS(RADIANS(A309))</f>
        <v>0.701114501972136</v>
      </c>
      <c r="E309" s="12" t="n">
        <f aca="false">Inputs!$B$9+Inputs!$B$5*SIN(RADIANS(A309))</f>
        <v>-0.930410369205097</v>
      </c>
      <c r="F309" s="12" t="n">
        <f aca="false">-Inputs!$B$6*(1-COS(RADIANS(C309)))</f>
        <v>-0.0839631778290863</v>
      </c>
      <c r="G309" s="12" t="n">
        <f aca="false">C309*Inputs!$B$7</f>
        <v>-10.3131694479746</v>
      </c>
      <c r="H309" s="12" t="n">
        <f aca="false">SQRT(D309^2+E309^2)</f>
        <v>1.165</v>
      </c>
    </row>
    <row r="310" customFormat="false" ht="15" hidden="false" customHeight="false" outlineLevel="0" collapsed="false">
      <c r="A310" s="12" t="n">
        <f aca="false">308*Inputs!$B$10*Inputs!$B$7</f>
        <v>308</v>
      </c>
      <c r="B310" s="12" t="n">
        <f aca="false">308*Inputs!$B$10</f>
        <v>308</v>
      </c>
      <c r="C310" s="12" t="n">
        <f aca="false">DEGREES(ASIN(MIN(MAX(Inputs!$B$5/Inputs!$B$6*SIN(RADIANS(A310)),-1),1)))</f>
        <v>-10.174495966396</v>
      </c>
      <c r="D310" s="12" t="n">
        <f aca="false">Inputs!$B$8+Inputs!$B$5*COS(RADIANS(A310))</f>
        <v>0.717245618754391</v>
      </c>
      <c r="E310" s="12" t="n">
        <f aca="false">Inputs!$B$9+Inputs!$B$5*SIN(RADIANS(A310))</f>
        <v>-0.918032527951832</v>
      </c>
      <c r="F310" s="12" t="n">
        <f aca="false">-Inputs!$B$6*(1-COS(RADIANS(C310)))</f>
        <v>-0.0817262753961674</v>
      </c>
      <c r="G310" s="12" t="n">
        <f aca="false">C310*Inputs!$B$7</f>
        <v>-10.174495966396</v>
      </c>
      <c r="H310" s="12" t="n">
        <f aca="false">SQRT(D310^2+E310^2)</f>
        <v>1.165</v>
      </c>
    </row>
    <row r="311" customFormat="false" ht="15" hidden="false" customHeight="false" outlineLevel="0" collapsed="false">
      <c r="A311" s="12" t="n">
        <f aca="false">309*Inputs!$B$10*Inputs!$B$7</f>
        <v>309</v>
      </c>
      <c r="B311" s="12" t="n">
        <f aca="false">309*Inputs!$B$10</f>
        <v>309</v>
      </c>
      <c r="C311" s="12" t="n">
        <f aca="false">DEGREES(ASIN(MIN(MAX(Inputs!$B$5/Inputs!$B$6*SIN(RADIANS(A311)),-1),1)))</f>
        <v>-10.0327518161609</v>
      </c>
      <c r="D311" s="12" t="n">
        <f aca="false">Inputs!$B$8+Inputs!$B$5*COS(RADIANS(A311))</f>
        <v>0.73315825557306</v>
      </c>
      <c r="E311" s="12" t="n">
        <f aca="false">Inputs!$B$9+Inputs!$B$5*SIN(RADIANS(A311))</f>
        <v>-0.905375045097372</v>
      </c>
      <c r="F311" s="12" t="n">
        <f aca="false">-Inputs!$B$6*(1-COS(RADIANS(C311)))</f>
        <v>-0.0794708083182435</v>
      </c>
      <c r="G311" s="12" t="n">
        <f aca="false">C311*Inputs!$B$7</f>
        <v>-10.0327518161609</v>
      </c>
      <c r="H311" s="12" t="n">
        <f aca="false">SQRT(D311^2+E311^2)</f>
        <v>1.165</v>
      </c>
    </row>
    <row r="312" customFormat="false" ht="15" hidden="false" customHeight="false" outlineLevel="0" collapsed="false">
      <c r="A312" s="12" t="n">
        <f aca="false">310*Inputs!$B$10*Inputs!$B$7</f>
        <v>310</v>
      </c>
      <c r="B312" s="12" t="n">
        <f aca="false">310*Inputs!$B$10</f>
        <v>310</v>
      </c>
      <c r="C312" s="12" t="n">
        <f aca="false">DEGREES(ASIN(MIN(MAX(Inputs!$B$5/Inputs!$B$6*SIN(RADIANS(A312)),-1),1)))</f>
        <v>-9.8879833359603</v>
      </c>
      <c r="D312" s="12" t="n">
        <f aca="false">Inputs!$B$8+Inputs!$B$5*COS(RADIANS(A312))</f>
        <v>0.748847565284818</v>
      </c>
      <c r="E312" s="12" t="n">
        <f aca="false">Inputs!$B$9+Inputs!$B$5*SIN(RADIANS(A312))</f>
        <v>-0.89244177623361</v>
      </c>
      <c r="F312" s="12" t="n">
        <f aca="false">-Inputs!$B$6*(1-COS(RADIANS(C312)))</f>
        <v>-0.0771995472447364</v>
      </c>
      <c r="G312" s="12" t="n">
        <f aca="false">C312*Inputs!$B$7</f>
        <v>-9.8879833359603</v>
      </c>
      <c r="H312" s="12" t="n">
        <f aca="false">SQRT(D312^2+E312^2)</f>
        <v>1.165</v>
      </c>
    </row>
    <row r="313" customFormat="false" ht="15" hidden="false" customHeight="false" outlineLevel="0" collapsed="false">
      <c r="A313" s="12" t="n">
        <f aca="false">311*Inputs!$B$10*Inputs!$B$7</f>
        <v>311</v>
      </c>
      <c r="B313" s="12" t="n">
        <f aca="false">311*Inputs!$B$10</f>
        <v>311</v>
      </c>
      <c r="C313" s="12" t="n">
        <f aca="false">DEGREES(ASIN(MIN(MAX(Inputs!$B$5/Inputs!$B$6*SIN(RADIANS(A313)),-1),1)))</f>
        <v>-9.74023769322512</v>
      </c>
      <c r="D313" s="12" t="n">
        <f aca="false">Inputs!$B$8+Inputs!$B$5*COS(RADIANS(A313))</f>
        <v>0.764308768773941</v>
      </c>
      <c r="E313" s="12" t="n">
        <f aca="false">Inputs!$B$9+Inputs!$B$5*SIN(RADIANS(A313))</f>
        <v>-0.87923666095953</v>
      </c>
      <c r="F313" s="12" t="n">
        <f aca="false">-Inputs!$B$6*(1-COS(RADIANS(C313)))</f>
        <v>-0.0749152785194256</v>
      </c>
      <c r="G313" s="12" t="n">
        <f aca="false">C313*Inputs!$B$7</f>
        <v>-9.74023769322512</v>
      </c>
      <c r="H313" s="12" t="n">
        <f aca="false">SQRT(D313^2+E313^2)</f>
        <v>1.165</v>
      </c>
    </row>
    <row r="314" customFormat="false" ht="15" hidden="false" customHeight="false" outlineLevel="0" collapsed="false">
      <c r="A314" s="12" t="n">
        <f aca="false">312*Inputs!$B$10*Inputs!$B$7</f>
        <v>312</v>
      </c>
      <c r="B314" s="12" t="n">
        <f aca="false">312*Inputs!$B$10</f>
        <v>312</v>
      </c>
      <c r="C314" s="12" t="n">
        <f aca="false">DEGREES(ASIN(MIN(MAX(Inputs!$B$5/Inputs!$B$6*SIN(RADIANS(A314)),-1),1)))</f>
        <v>-9.58956286152171</v>
      </c>
      <c r="D314" s="12" t="n">
        <f aca="false">Inputs!$B$8+Inputs!$B$5*COS(RADIANS(A314))</f>
        <v>0.77953715640807</v>
      </c>
      <c r="E314" s="12" t="n">
        <f aca="false">Inputs!$B$9+Inputs!$B$5*SIN(RADIANS(A314))</f>
        <v>-0.865763721681164</v>
      </c>
      <c r="F314" s="12" t="n">
        <f aca="false">-Inputs!$B$6*(1-COS(RADIANS(C314)))</f>
        <v>-0.0726208006997784</v>
      </c>
      <c r="G314" s="12" t="n">
        <f aca="false">C314*Inputs!$B$7</f>
        <v>-9.58956286152171</v>
      </c>
      <c r="H314" s="12" t="n">
        <f aca="false">SQRT(D314^2+E314^2)</f>
        <v>1.165</v>
      </c>
    </row>
    <row r="315" customFormat="false" ht="15" hidden="false" customHeight="false" outlineLevel="0" collapsed="false">
      <c r="A315" s="12" t="n">
        <f aca="false">313*Inputs!$B$10*Inputs!$B$7</f>
        <v>313</v>
      </c>
      <c r="B315" s="12" t="n">
        <f aca="false">313*Inputs!$B$10</f>
        <v>313</v>
      </c>
      <c r="C315" s="12" t="n">
        <f aca="false">DEGREES(ASIN(MIN(MAX(Inputs!$B$5/Inputs!$B$6*SIN(RADIANS(A315)),-1),1)))</f>
        <v>-9.43600759801749</v>
      </c>
      <c r="D315" s="12" t="n">
        <f aca="false">Inputs!$B$8+Inputs!$B$5*COS(RADIANS(A315))</f>
        <v>0.794528089472811</v>
      </c>
      <c r="E315" s="12" t="n">
        <f aca="false">Inputs!$B$9+Inputs!$B$5*SIN(RADIANS(A315))</f>
        <v>-0.852027062386334</v>
      </c>
      <c r="F315" s="12" t="n">
        <f aca="false">-Inputs!$B$6*(1-COS(RADIANS(C315)))</f>
        <v>-0.0703189210795145</v>
      </c>
      <c r="G315" s="12" t="n">
        <f aca="false">C315*Inputs!$B$7</f>
        <v>-9.43600759801749</v>
      </c>
      <c r="H315" s="12" t="n">
        <f aca="false">SQRT(D315^2+E315^2)</f>
        <v>1.165</v>
      </c>
    </row>
    <row r="316" customFormat="false" ht="15" hidden="false" customHeight="false" outlineLevel="0" collapsed="false">
      <c r="A316" s="12" t="n">
        <f aca="false">314*Inputs!$B$10*Inputs!$B$7</f>
        <v>314</v>
      </c>
      <c r="B316" s="12" t="n">
        <f aca="false">314*Inputs!$B$10</f>
        <v>314</v>
      </c>
      <c r="C316" s="12" t="n">
        <f aca="false">DEGREES(ASIN(MIN(MAX(Inputs!$B$5/Inputs!$B$6*SIN(RADIANS(A316)),-1),1)))</f>
        <v>-9.27962142104417</v>
      </c>
      <c r="D316" s="12" t="n">
        <f aca="false">Inputs!$B$8+Inputs!$B$5*COS(RADIANS(A316))</f>
        <v>0.809277001584732</v>
      </c>
      <c r="E316" s="12" t="n">
        <f aca="false">Inputs!$B$9+Inputs!$B$5*SIN(RADIANS(A316))</f>
        <v>-0.838030867394529</v>
      </c>
      <c r="F316" s="12" t="n">
        <f aca="false">-Inputs!$B$6*(1-COS(RADIANS(C316)))</f>
        <v>-0.0680124522188619</v>
      </c>
      <c r="G316" s="12" t="n">
        <f aca="false">C316*Inputs!$B$7</f>
        <v>-9.27962142104417</v>
      </c>
      <c r="H316" s="12" t="n">
        <f aca="false">SQRT(D316^2+E316^2)</f>
        <v>1.165</v>
      </c>
    </row>
    <row r="317" customFormat="false" ht="15" hidden="false" customHeight="false" outlineLevel="0" collapsed="false">
      <c r="A317" s="12" t="n">
        <f aca="false">315*Inputs!$B$10*Inputs!$B$7</f>
        <v>315</v>
      </c>
      <c r="B317" s="12" t="n">
        <f aca="false">315*Inputs!$B$10</f>
        <v>315</v>
      </c>
      <c r="C317" s="12" t="n">
        <f aca="false">DEGREES(ASIN(MIN(MAX(Inputs!$B$5/Inputs!$B$6*SIN(RADIANS(A317)),-1),1)))</f>
        <v>-9.12045458778378</v>
      </c>
      <c r="D317" s="12" t="n">
        <f aca="false">Inputs!$B$8+Inputs!$B$5*COS(RADIANS(A317))</f>
        <v>0.823779400082328</v>
      </c>
      <c r="E317" s="12" t="n">
        <f aca="false">Inputs!$B$9+Inputs!$B$5*SIN(RADIANS(A317))</f>
        <v>-0.823779400082328</v>
      </c>
      <c r="F317" s="12" t="n">
        <f aca="false">-Inputs!$B$6*(1-COS(RADIANS(C317)))</f>
        <v>-0.065704208486905</v>
      </c>
      <c r="G317" s="12" t="n">
        <f aca="false">C317*Inputs!$B$7</f>
        <v>-9.12045458778378</v>
      </c>
      <c r="H317" s="12" t="n">
        <f aca="false">SQRT(D317^2+E317^2)</f>
        <v>1.165</v>
      </c>
    </row>
    <row r="318" customFormat="false" ht="15" hidden="false" customHeight="false" outlineLevel="0" collapsed="false">
      <c r="A318" s="12" t="n">
        <f aca="false">316*Inputs!$B$10*Inputs!$B$7</f>
        <v>316</v>
      </c>
      <c r="B318" s="12" t="n">
        <f aca="false">316*Inputs!$B$10</f>
        <v>316</v>
      </c>
      <c r="C318" s="12" t="n">
        <f aca="false">DEGREES(ASIN(MIN(MAX(Inputs!$B$5/Inputs!$B$6*SIN(RADIANS(A318)),-1),1)))</f>
        <v>-8.95855807210191</v>
      </c>
      <c r="D318" s="12" t="n">
        <f aca="false">Inputs!$B$8+Inputs!$B$5*COS(RADIANS(A318))</f>
        <v>0.838030867394528</v>
      </c>
      <c r="E318" s="12" t="n">
        <f aca="false">Inputs!$B$9+Inputs!$B$5*SIN(RADIANS(A318))</f>
        <v>-0.809277001584732</v>
      </c>
      <c r="F318" s="12" t="n">
        <f aca="false">-Inputs!$B$6*(1-COS(RADIANS(C318)))</f>
        <v>-0.0633970026202821</v>
      </c>
      <c r="G318" s="12" t="n">
        <f aca="false">C318*Inputs!$B$7</f>
        <v>-8.95855807210191</v>
      </c>
      <c r="H318" s="12" t="n">
        <f aca="false">SQRT(D318^2+E318^2)</f>
        <v>1.165</v>
      </c>
    </row>
    <row r="319" customFormat="false" ht="15" hidden="false" customHeight="false" outlineLevel="0" collapsed="false">
      <c r="A319" s="12" t="n">
        <f aca="false">317*Inputs!$B$10*Inputs!$B$7</f>
        <v>317</v>
      </c>
      <c r="B319" s="12" t="n">
        <f aca="false">317*Inputs!$B$10</f>
        <v>317</v>
      </c>
      <c r="C319" s="12" t="n">
        <f aca="false">DEGREES(ASIN(MIN(MAX(Inputs!$B$5/Inputs!$B$6*SIN(RADIANS(A319)),-1),1)))</f>
        <v>-8.79398354255098</v>
      </c>
      <c r="D319" s="12" t="n">
        <f aca="false">Inputs!$B$8+Inputs!$B$5*COS(RADIANS(A319))</f>
        <v>0.852027062386333</v>
      </c>
      <c r="E319" s="12" t="n">
        <f aca="false">Inputs!$B$9+Inputs!$B$5*SIN(RADIANS(A319))</f>
        <v>-0.794528089472811</v>
      </c>
      <c r="F319" s="12" t="n">
        <f aca="false">-Inputs!$B$6*(1-COS(RADIANS(C319)))</f>
        <v>-0.0610936423023944</v>
      </c>
      <c r="G319" s="12" t="n">
        <f aca="false">C319*Inputs!$B$7</f>
        <v>-8.79398354255098</v>
      </c>
      <c r="H319" s="12" t="n">
        <f aca="false">SQRT(D319^2+E319^2)</f>
        <v>1.165</v>
      </c>
    </row>
    <row r="320" customFormat="false" ht="15" hidden="false" customHeight="false" outlineLevel="0" collapsed="false">
      <c r="A320" s="12" t="n">
        <f aca="false">318*Inputs!$B$10*Inputs!$B$7</f>
        <v>318</v>
      </c>
      <c r="B320" s="12" t="n">
        <f aca="false">318*Inputs!$B$10</f>
        <v>318</v>
      </c>
      <c r="C320" s="12" t="n">
        <f aca="false">DEGREES(ASIN(MIN(MAX(Inputs!$B$5/Inputs!$B$6*SIN(RADIANS(A320)),-1),1)))</f>
        <v>-8.62678334056515</v>
      </c>
      <c r="D320" s="12" t="n">
        <f aca="false">Inputs!$B$8+Inputs!$B$5*COS(RADIANS(A320))</f>
        <v>0.865763721681164</v>
      </c>
      <c r="E320" s="12" t="n">
        <f aca="false">Inputs!$B$9+Inputs!$B$5*SIN(RADIANS(A320))</f>
        <v>-0.779537156408071</v>
      </c>
      <c r="F320" s="12" t="n">
        <f aca="false">-Inputs!$B$6*(1-COS(RADIANS(C320)))</f>
        <v>-0.0587969267671778</v>
      </c>
      <c r="G320" s="12" t="n">
        <f aca="false">C320*Inputs!$B$7</f>
        <v>-8.62678334056515</v>
      </c>
      <c r="H320" s="12" t="n">
        <f aca="false">SQRT(D320^2+E320^2)</f>
        <v>1.165</v>
      </c>
    </row>
    <row r="321" customFormat="false" ht="15" hidden="false" customHeight="false" outlineLevel="0" collapsed="false">
      <c r="A321" s="12" t="n">
        <f aca="false">319*Inputs!$B$10*Inputs!$B$7</f>
        <v>319</v>
      </c>
      <c r="B321" s="12" t="n">
        <f aca="false">319*Inputs!$B$10</f>
        <v>319</v>
      </c>
      <c r="C321" s="12" t="n">
        <f aca="false">DEGREES(ASIN(MIN(MAX(Inputs!$B$5/Inputs!$B$6*SIN(RADIANS(A321)),-1),1)))</f>
        <v>-8.45701045886715</v>
      </c>
      <c r="D321" s="12" t="n">
        <f aca="false">Inputs!$B$8+Inputs!$B$5*COS(RADIANS(A321))</f>
        <v>0.879236660959529</v>
      </c>
      <c r="E321" s="12" t="n">
        <f aca="false">Inputs!$B$9+Inputs!$B$5*SIN(RADIANS(A321))</f>
        <v>-0.764308768773941</v>
      </c>
      <c r="F321" s="12" t="n">
        <f aca="false">-Inputs!$B$6*(1-COS(RADIANS(C321)))</f>
        <v>-0.0565096434313526</v>
      </c>
      <c r="G321" s="12" t="n">
        <f aca="false">C321*Inputs!$B$7</f>
        <v>-8.45701045886715</v>
      </c>
      <c r="H321" s="12" t="n">
        <f aca="false">SQRT(D321^2+E321^2)</f>
        <v>1.165</v>
      </c>
    </row>
    <row r="322" customFormat="false" ht="15" hidden="false" customHeight="false" outlineLevel="0" collapsed="false">
      <c r="A322" s="12" t="n">
        <f aca="false">320*Inputs!$B$10*Inputs!$B$7</f>
        <v>320</v>
      </c>
      <c r="B322" s="12" t="n">
        <f aca="false">320*Inputs!$B$10</f>
        <v>320</v>
      </c>
      <c r="C322" s="12" t="n">
        <f aca="false">DEGREES(ASIN(MIN(MAX(Inputs!$B$5/Inputs!$B$6*SIN(RADIANS(A322)),-1),1)))</f>
        <v>-8.28471852010586</v>
      </c>
      <c r="D322" s="12" t="n">
        <f aca="false">Inputs!$B$8+Inputs!$B$5*COS(RADIANS(A322))</f>
        <v>0.892441776233609</v>
      </c>
      <c r="E322" s="12" t="n">
        <f aca="false">Inputs!$B$9+Inputs!$B$5*SIN(RADIANS(A322))</f>
        <v>-0.748847565284819</v>
      </c>
      <c r="F322" s="12" t="n">
        <f aca="false">-Inputs!$B$6*(1-COS(RADIANS(C322)))</f>
        <v>-0.054234564558967</v>
      </c>
      <c r="G322" s="12" t="n">
        <f aca="false">C322*Inputs!$B$7</f>
        <v>-8.28471852010586</v>
      </c>
      <c r="H322" s="12" t="n">
        <f aca="false">SQRT(D322^2+E322^2)</f>
        <v>1.165</v>
      </c>
    </row>
    <row r="323" customFormat="false" ht="15" hidden="false" customHeight="false" outlineLevel="0" collapsed="false">
      <c r="A323" s="12" t="n">
        <f aca="false">321*Inputs!$B$10*Inputs!$B$7</f>
        <v>321</v>
      </c>
      <c r="B323" s="12" t="n">
        <f aca="false">321*Inputs!$B$10</f>
        <v>321</v>
      </c>
      <c r="C323" s="12" t="n">
        <f aca="false">DEGREES(ASIN(MIN(MAX(Inputs!$B$5/Inputs!$B$6*SIN(RADIANS(A323)),-1),1)))</f>
        <v>-8.109961755742</v>
      </c>
      <c r="D323" s="12" t="n">
        <f aca="false">Inputs!$B$8+Inputs!$B$5*COS(RADIANS(A323))</f>
        <v>0.905375045097371</v>
      </c>
      <c r="E323" s="12" t="n">
        <f aca="false">Inputs!$B$9+Inputs!$B$5*SIN(RADIANS(A323))</f>
        <v>-0.73315825557306</v>
      </c>
      <c r="F323" s="12" t="n">
        <f aca="false">-Inputs!$B$6*(1-COS(RADIANS(C323)))</f>
        <v>-0.051974443961909</v>
      </c>
      <c r="G323" s="12" t="n">
        <f aca="false">C323*Inputs!$B$7</f>
        <v>-8.109961755742</v>
      </c>
      <c r="H323" s="12" t="n">
        <f aca="false">SQRT(D323^2+E323^2)</f>
        <v>1.165</v>
      </c>
    </row>
    <row r="324" customFormat="false" ht="15" hidden="false" customHeight="false" outlineLevel="0" collapsed="false">
      <c r="A324" s="12" t="n">
        <f aca="false">322*Inputs!$B$10*Inputs!$B$7</f>
        <v>322</v>
      </c>
      <c r="B324" s="12" t="n">
        <f aca="false">322*Inputs!$B$10</f>
        <v>322</v>
      </c>
      <c r="C324" s="12" t="n">
        <f aca="false">DEGREES(ASIN(MIN(MAX(Inputs!$B$5/Inputs!$B$6*SIN(RADIANS(A324)),-1),1)))</f>
        <v>-7.93279498519818</v>
      </c>
      <c r="D324" s="12" t="n">
        <f aca="false">Inputs!$B$8+Inputs!$B$5*COS(RADIANS(A324))</f>
        <v>0.918032527951831</v>
      </c>
      <c r="E324" s="12" t="n">
        <f aca="false">Inputs!$B$9+Inputs!$B$5*SIN(RADIANS(A324))</f>
        <v>-0.717245618754392</v>
      </c>
      <c r="F324" s="12" t="n">
        <f aca="false">-Inputs!$B$6*(1-COS(RADIANS(C324)))</f>
        <v>-0.049732013739946</v>
      </c>
      <c r="G324" s="12" t="n">
        <f aca="false">C324*Inputs!$B$7</f>
        <v>-7.93279498519818</v>
      </c>
      <c r="H324" s="12" t="n">
        <f aca="false">SQRT(D324^2+E324^2)</f>
        <v>1.165</v>
      </c>
    </row>
    <row r="325" customFormat="false" ht="15" hidden="false" customHeight="false" outlineLevel="0" collapsed="false">
      <c r="A325" s="12" t="n">
        <f aca="false">323*Inputs!$B$10*Inputs!$B$7</f>
        <v>323</v>
      </c>
      <c r="B325" s="12" t="n">
        <f aca="false">323*Inputs!$B$10</f>
        <v>323</v>
      </c>
      <c r="C325" s="12" t="n">
        <f aca="false">DEGREES(ASIN(MIN(MAX(Inputs!$B$5/Inputs!$B$6*SIN(RADIANS(A325)),-1),1)))</f>
        <v>-7.7532735952878</v>
      </c>
      <c r="D325" s="12" t="n">
        <f aca="false">Inputs!$B$8+Inputs!$B$5*COS(RADIANS(A325))</f>
        <v>0.930410369205096</v>
      </c>
      <c r="E325" s="12" t="n">
        <f aca="false">Inputs!$B$9+Inputs!$B$5*SIN(RADIANS(A325))</f>
        <v>-0.701114501972136</v>
      </c>
      <c r="F325" s="12" t="n">
        <f aca="false">-Inputs!$B$6*(1-COS(RADIANS(C325)))</f>
        <v>-0.0475099810637207</v>
      </c>
      <c r="G325" s="12" t="n">
        <f aca="false">C325*Inputs!$B$7</f>
        <v>-7.7532735952878</v>
      </c>
      <c r="H325" s="12" t="n">
        <f aca="false">SQRT(D325^2+E325^2)</f>
        <v>1.165</v>
      </c>
    </row>
    <row r="326" customFormat="false" ht="15" hidden="false" customHeight="false" outlineLevel="0" collapsed="false">
      <c r="A326" s="12" t="n">
        <f aca="false">324*Inputs!$B$10*Inputs!$B$7</f>
        <v>324</v>
      </c>
      <c r="B326" s="12" t="n">
        <f aca="false">324*Inputs!$B$10</f>
        <v>324</v>
      </c>
      <c r="C326" s="12" t="n">
        <f aca="false">DEGREES(ASIN(MIN(MAX(Inputs!$B$5/Inputs!$B$6*SIN(RADIANS(A326)),-1),1)))</f>
        <v>-7.57145351993606</v>
      </c>
      <c r="D326" s="12" t="n">
        <f aca="false">Inputs!$B$8+Inputs!$B$5*COS(RADIANS(A326))</f>
        <v>0.942504798446814</v>
      </c>
      <c r="E326" s="12" t="n">
        <f aca="false">Inputs!$B$9+Inputs!$B$5*SIN(RADIANS(A326))</f>
        <v>-0.684769818920732</v>
      </c>
      <c r="F326" s="12" t="n">
        <f aca="false">-Inputs!$B$6*(1-COS(RADIANS(C326)))</f>
        <v>-0.0453110250040064</v>
      </c>
      <c r="G326" s="12" t="n">
        <f aca="false">C326*Inputs!$B$7</f>
        <v>-7.57145351993606</v>
      </c>
      <c r="H326" s="12" t="n">
        <f aca="false">SQRT(D326^2+E326^2)</f>
        <v>1.165</v>
      </c>
    </row>
    <row r="327" customFormat="false" ht="15" hidden="false" customHeight="false" outlineLevel="0" collapsed="false">
      <c r="A327" s="12" t="n">
        <f aca="false">325*Inputs!$B$10*Inputs!$B$7</f>
        <v>325</v>
      </c>
      <c r="B327" s="12" t="n">
        <f aca="false">325*Inputs!$B$10</f>
        <v>325</v>
      </c>
      <c r="C327" s="12" t="n">
        <f aca="false">DEGREES(ASIN(MIN(MAX(Inputs!$B$5/Inputs!$B$6*SIN(RADIANS(A327)),-1),1)))</f>
        <v>-7.38739122020505</v>
      </c>
      <c r="D327" s="12" t="n">
        <f aca="false">Inputs!$B$8+Inputs!$B$5*COS(RADIANS(A327))</f>
        <v>0.954312131596675</v>
      </c>
      <c r="E327" s="12" t="n">
        <f aca="false">Inputs!$B$9+Inputs!$B$5*SIN(RADIANS(A327))</f>
        <v>-0.668216548348969</v>
      </c>
      <c r="F327" s="12" t="n">
        <f aca="false">-Inputs!$B$6*(1-COS(RADIANS(C327)))</f>
        <v>-0.0431377934104029</v>
      </c>
      <c r="G327" s="12" t="n">
        <f aca="false">C327*Inputs!$B$7</f>
        <v>-7.38739122020505</v>
      </c>
      <c r="H327" s="12" t="n">
        <f aca="false">SQRT(D327^2+E327^2)</f>
        <v>1.165</v>
      </c>
    </row>
    <row r="328" customFormat="false" ht="15" hidden="false" customHeight="false" outlineLevel="0" collapsed="false">
      <c r="A328" s="12" t="n">
        <f aca="false">326*Inputs!$B$10*Inputs!$B$7</f>
        <v>326</v>
      </c>
      <c r="B328" s="12" t="n">
        <f aca="false">326*Inputs!$B$10</f>
        <v>326</v>
      </c>
      <c r="C328" s="12" t="n">
        <f aca="false">DEGREES(ASIN(MIN(MAX(Inputs!$B$5/Inputs!$B$6*SIN(RADIANS(A328)),-1),1)))</f>
        <v>-7.20114366463326</v>
      </c>
      <c r="D328" s="12" t="n">
        <f aca="false">Inputs!$B$8+Inputs!$B$5*COS(RADIANS(A328))</f>
        <v>0.965828772026623</v>
      </c>
      <c r="E328" s="12" t="n">
        <f aca="false">Inputs!$B$9+Inputs!$B$5*SIN(RADIANS(A328))</f>
        <v>-0.651459732543421</v>
      </c>
      <c r="F328" s="12" t="n">
        <f aca="false">-Inputs!$B$6*(1-COS(RADIANS(C328)))</f>
        <v>-0.0409928998425095</v>
      </c>
      <c r="G328" s="12" t="n">
        <f aca="false">C328*Inputs!$B$7</f>
        <v>-7.20114366463326</v>
      </c>
      <c r="H328" s="12" t="n">
        <f aca="false">SQRT(D328^2+E328^2)</f>
        <v>1.165</v>
      </c>
    </row>
    <row r="329" customFormat="false" ht="15" hidden="false" customHeight="false" outlineLevel="0" collapsed="false">
      <c r="A329" s="12" t="n">
        <f aca="false">327*Inputs!$B$10*Inputs!$B$7</f>
        <v>327</v>
      </c>
      <c r="B329" s="12" t="n">
        <f aca="false">327*Inputs!$B$10</f>
        <v>327</v>
      </c>
      <c r="C329" s="12" t="n">
        <f aca="false">DEGREES(ASIN(MIN(MAX(Inputs!$B$5/Inputs!$B$6*SIN(RADIANS(A329)),-1),1)))</f>
        <v>-7.01276830989849</v>
      </c>
      <c r="D329" s="12" t="n">
        <f aca="false">Inputs!$B$8+Inputs!$B$5*COS(RADIANS(A329))</f>
        <v>0.977051211656419</v>
      </c>
      <c r="E329" s="12" t="n">
        <f aca="false">Inputs!$B$9+Inputs!$B$5*SIN(RADIANS(A329))</f>
        <v>-0.634504475792507</v>
      </c>
      <c r="F329" s="12" t="n">
        <f aca="false">-Inputs!$B$6*(1-COS(RADIANS(C329)))</f>
        <v>-0.0388789205565098</v>
      </c>
      <c r="G329" s="12" t="n">
        <f aca="false">C329*Inputs!$B$7</f>
        <v>-7.01276830989849</v>
      </c>
      <c r="H329" s="12" t="n">
        <f aca="false">SQRT(D329^2+E329^2)</f>
        <v>1.165</v>
      </c>
    </row>
    <row r="330" customFormat="false" ht="15" hidden="false" customHeight="false" outlineLevel="0" collapsed="false">
      <c r="A330" s="12" t="n">
        <f aca="false">328*Inputs!$B$10*Inputs!$B$7</f>
        <v>328</v>
      </c>
      <c r="B330" s="12" t="n">
        <f aca="false">328*Inputs!$B$10</f>
        <v>328</v>
      </c>
      <c r="C330" s="12" t="n">
        <f aca="false">DEGREES(ASIN(MIN(MAX(Inputs!$B$5/Inputs!$B$6*SIN(RADIANS(A330)),-1),1)))</f>
        <v>-6.82232308181218</v>
      </c>
      <c r="D330" s="12" t="n">
        <f aca="false">Inputs!$B$8+Inputs!$B$5*COS(RADIANS(A330))</f>
        <v>0.987976032022236</v>
      </c>
      <c r="E330" s="12" t="n">
        <f aca="false">Inputs!$B$9+Inputs!$B$5*SIN(RADIANS(A330))</f>
        <v>-0.617355942831684</v>
      </c>
      <c r="F330" s="12" t="n">
        <f aca="false">-Inputs!$B$6*(1-COS(RADIANS(C330)))</f>
        <v>-0.0367983915499578</v>
      </c>
      <c r="G330" s="12" t="n">
        <f aca="false">C330*Inputs!$B$7</f>
        <v>-6.82232308181218</v>
      </c>
      <c r="H330" s="12" t="n">
        <f aca="false">SQRT(D330^2+E330^2)</f>
        <v>1.165</v>
      </c>
    </row>
    <row r="331" customFormat="false" ht="15" hidden="false" customHeight="false" outlineLevel="0" collapsed="false">
      <c r="A331" s="12" t="n">
        <f aca="false">329*Inputs!$B$10*Inputs!$B$7</f>
        <v>329</v>
      </c>
      <c r="B331" s="12" t="n">
        <f aca="false">329*Inputs!$B$10</f>
        <v>329</v>
      </c>
      <c r="C331" s="12" t="n">
        <f aca="false">DEGREES(ASIN(MIN(MAX(Inputs!$B$5/Inputs!$B$6*SIN(RADIANS(A331)),-1),1)))</f>
        <v>-6.62986635665114</v>
      </c>
      <c r="D331" s="12" t="n">
        <f aca="false">Inputs!$B$8+Inputs!$B$5*COS(RADIANS(A331))</f>
        <v>0.998599905317961</v>
      </c>
      <c r="E331" s="12" t="n">
        <f aca="false">Inputs!$B$9+Inputs!$B$5*SIN(RADIANS(A331))</f>
        <v>-0.600019357270214</v>
      </c>
      <c r="F331" s="12" t="n">
        <f aca="false">-Inputs!$B$6*(1-COS(RADIANS(C331)))</f>
        <v>-0.0347538056674363</v>
      </c>
      <c r="G331" s="12" t="n">
        <f aca="false">C331*Inputs!$B$7</f>
        <v>-6.62986635665114</v>
      </c>
      <c r="H331" s="12" t="n">
        <f aca="false">SQRT(D331^2+E331^2)</f>
        <v>1.165</v>
      </c>
    </row>
    <row r="332" customFormat="false" ht="15" hidden="false" customHeight="false" outlineLevel="0" collapsed="false">
      <c r="A332" s="12" t="n">
        <f aca="false">330*Inputs!$B$10*Inputs!$B$7</f>
        <v>330</v>
      </c>
      <c r="B332" s="12" t="n">
        <f aca="false">330*Inputs!$B$10</f>
        <v>330</v>
      </c>
      <c r="C332" s="12" t="n">
        <f aca="false">DEGREES(ASIN(MIN(MAX(Inputs!$B$5/Inputs!$B$6*SIN(RADIANS(A332)),-1),1)))</f>
        <v>-6.43545694283195</v>
      </c>
      <c r="D332" s="12" t="n">
        <f aca="false">Inputs!$B$8+Inputs!$B$5*COS(RADIANS(A332))</f>
        <v>1.00891959540887</v>
      </c>
      <c r="E332" s="12" t="n">
        <f aca="false">Inputs!$B$9+Inputs!$B$5*SIN(RADIANS(A332))</f>
        <v>-0.582500000000001</v>
      </c>
      <c r="F332" s="12" t="n">
        <f aca="false">-Inputs!$B$6*(1-COS(RADIANS(C332)))</f>
        <v>-0.0327476097696386</v>
      </c>
      <c r="G332" s="12" t="n">
        <f aca="false">C332*Inputs!$B$7</f>
        <v>-6.43545694283195</v>
      </c>
      <c r="H332" s="12" t="n">
        <f aca="false">SQRT(D332^2+E332^2)</f>
        <v>1.165</v>
      </c>
    </row>
    <row r="333" customFormat="false" ht="15" hidden="false" customHeight="false" outlineLevel="0" collapsed="false">
      <c r="A333" s="12" t="n">
        <f aca="false">331*Inputs!$B$10*Inputs!$B$7</f>
        <v>331</v>
      </c>
      <c r="B333" s="12" t="n">
        <f aca="false">331*Inputs!$B$10</f>
        <v>331</v>
      </c>
      <c r="C333" s="12" t="n">
        <f aca="false">DEGREES(ASIN(MIN(MAX(Inputs!$B$5/Inputs!$B$6*SIN(RADIANS(A333)),-1),1)))</f>
        <v>-6.23915406293178</v>
      </c>
      <c r="D333" s="12" t="n">
        <f aca="false">Inputs!$B$8+Inputs!$B$5*COS(RADIANS(A333))</f>
        <v>1.0189319588174</v>
      </c>
      <c r="E333" s="12" t="n">
        <f aca="false">Inputs!$B$9+Inputs!$B$5*SIN(RADIANS(A333))</f>
        <v>-0.564803207586983</v>
      </c>
      <c r="F333" s="12" t="n">
        <f aca="false">-Inputs!$B$6*(1-COS(RADIANS(C333)))</f>
        <v>-0.0307822019683051</v>
      </c>
      <c r="G333" s="12" t="n">
        <f aca="false">C333*Inputs!$B$7</f>
        <v>-6.23915406293178</v>
      </c>
      <c r="H333" s="12" t="n">
        <f aca="false">SQRT(D333^2+E333^2)</f>
        <v>1.165</v>
      </c>
    </row>
    <row r="334" customFormat="false" ht="15" hidden="false" customHeight="false" outlineLevel="0" collapsed="false">
      <c r="A334" s="12" t="n">
        <f aca="false">332*Inputs!$B$10*Inputs!$B$7</f>
        <v>332</v>
      </c>
      <c r="B334" s="12" t="n">
        <f aca="false">332*Inputs!$B$10</f>
        <v>332</v>
      </c>
      <c r="C334" s="12" t="n">
        <f aca="false">DEGREES(ASIN(MIN(MAX(Inputs!$B$5/Inputs!$B$6*SIN(RADIANS(A334)),-1),1)))</f>
        <v>-6.04101733605791</v>
      </c>
      <c r="D334" s="12" t="n">
        <f aca="false">Inputs!$B$8+Inputs!$B$5*COS(RADIANS(A334))</f>
        <v>1.02863394568065</v>
      </c>
      <c r="E334" s="12" t="n">
        <f aca="false">Inputs!$B$9+Inputs!$B$5*SIN(RADIANS(A334))</f>
        <v>-0.546934370645563</v>
      </c>
      <c r="F334" s="12" t="n">
        <f aca="false">-Inputs!$B$6*(1-COS(RADIANS(C334)))</f>
        <v>-0.0288599289293111</v>
      </c>
      <c r="G334" s="12" t="n">
        <f aca="false">C334*Inputs!$B$7</f>
        <v>-6.04101733605791</v>
      </c>
      <c r="H334" s="12" t="n">
        <f aca="false">SQRT(D334^2+E334^2)</f>
        <v>1.165</v>
      </c>
    </row>
    <row r="335" customFormat="false" ht="15" hidden="false" customHeight="false" outlineLevel="0" collapsed="false">
      <c r="A335" s="12" t="n">
        <f aca="false">333*Inputs!$B$10*Inputs!$B$7</f>
        <v>333</v>
      </c>
      <c r="B335" s="12" t="n">
        <f aca="false">333*Inputs!$B$10</f>
        <v>333</v>
      </c>
      <c r="C335" s="12" t="n">
        <f aca="false">DEGREES(ASIN(MIN(MAX(Inputs!$B$5/Inputs!$B$6*SIN(RADIANS(A335)),-1),1)))</f>
        <v>-5.84110676056738</v>
      </c>
      <c r="D335" s="12" t="n">
        <f aca="false">Inputs!$B$8+Inputs!$B$5*COS(RADIANS(A335))</f>
        <v>1.03802260067945</v>
      </c>
      <c r="E335" s="12" t="n">
        <f aca="false">Inputs!$B$9+Inputs!$B$5*SIN(RADIANS(A335))</f>
        <v>-0.528898932196572</v>
      </c>
      <c r="F335" s="12" t="n">
        <f aca="false">-Inputs!$B$6*(1-COS(RADIANS(C335)))</f>
        <v>-0.026983083246117</v>
      </c>
      <c r="G335" s="12" t="n">
        <f aca="false">C335*Inputs!$B$7</f>
        <v>-5.84110676056738</v>
      </c>
      <c r="H335" s="12" t="n">
        <f aca="false">SQRT(D335^2+E335^2)</f>
        <v>1.165</v>
      </c>
    </row>
    <row r="336" customFormat="false" ht="15" hidden="false" customHeight="false" outlineLevel="0" collapsed="false">
      <c r="A336" s="12" t="n">
        <f aca="false">334*Inputs!$B$10*Inputs!$B$7</f>
        <v>334</v>
      </c>
      <c r="B336" s="12" t="n">
        <f aca="false">334*Inputs!$B$10</f>
        <v>334</v>
      </c>
      <c r="C336" s="12" t="n">
        <f aca="false">DEGREES(ASIN(MIN(MAX(Inputs!$B$5/Inputs!$B$6*SIN(RADIANS(A336)),-1),1)))</f>
        <v>-5.6394826971366</v>
      </c>
      <c r="D336" s="12" t="n">
        <f aca="false">Inputs!$B$8+Inputs!$B$5*COS(RADIANS(A336))</f>
        <v>1.04709506393853</v>
      </c>
      <c r="E336" s="12" t="n">
        <f aca="false">Inputs!$B$9+Inputs!$B$5*SIN(RADIANS(A336))</f>
        <v>-0.510702386009276</v>
      </c>
      <c r="F336" s="12" t="n">
        <f aca="false">-Inputs!$B$6*(1-COS(RADIANS(C336)))</f>
        <v>-0.0251539008856387</v>
      </c>
      <c r="G336" s="12" t="n">
        <f aca="false">C336*Inputs!$B$7</f>
        <v>-5.6394826971366</v>
      </c>
      <c r="H336" s="12" t="n">
        <f aca="false">SQRT(D336^2+E336^2)</f>
        <v>1.165</v>
      </c>
    </row>
    <row r="337" customFormat="false" ht="15" hidden="false" customHeight="false" outlineLevel="0" collapsed="false">
      <c r="A337" s="12" t="n">
        <f aca="false">335*Inputs!$B$10*Inputs!$B$7</f>
        <v>335</v>
      </c>
      <c r="B337" s="12" t="n">
        <f aca="false">335*Inputs!$B$10</f>
        <v>335</v>
      </c>
      <c r="C337" s="12" t="n">
        <f aca="false">DEGREES(ASIN(MIN(MAX(Inputs!$B$5/Inputs!$B$6*SIN(RADIANS(A337)),-1),1)))</f>
        <v>-5.43620585217989</v>
      </c>
      <c r="D337" s="12" t="n">
        <f aca="false">Inputs!$B$8+Inputs!$B$5*COS(RADIANS(A337))</f>
        <v>1.0558485718977</v>
      </c>
      <c r="E337" s="12" t="n">
        <f aca="false">Inputs!$B$9+Inputs!$B$5*SIN(RADIANS(A337))</f>
        <v>-0.492350274927915</v>
      </c>
      <c r="F337" s="12" t="n">
        <f aca="false">-Inputs!$B$6*(1-COS(RADIANS(C337)))</f>
        <v>-0.0233745587085255</v>
      </c>
      <c r="G337" s="12" t="n">
        <f aca="false">C337*Inputs!$B$7</f>
        <v>-5.43620585217989</v>
      </c>
      <c r="H337" s="12" t="n">
        <f aca="false">SQRT(D337^2+E337^2)</f>
        <v>1.165</v>
      </c>
    </row>
    <row r="338" customFormat="false" ht="15" hidden="false" customHeight="false" outlineLevel="0" collapsed="false">
      <c r="A338" s="12" t="n">
        <f aca="false">336*Inputs!$B$10*Inputs!$B$7</f>
        <v>336</v>
      </c>
      <c r="B338" s="12" t="n">
        <f aca="false">336*Inputs!$B$10</f>
        <v>336</v>
      </c>
      <c r="C338" s="12" t="n">
        <f aca="false">DEGREES(ASIN(MIN(MAX(Inputs!$B$5/Inputs!$B$6*SIN(RADIANS(A338)),-1),1)))</f>
        <v>-5.23133726161461</v>
      </c>
      <c r="D338" s="12" t="n">
        <f aca="false">Inputs!$B$8+Inputs!$B$5*COS(RADIANS(A338))</f>
        <v>1.06428045815363</v>
      </c>
      <c r="E338" s="12" t="n">
        <f aca="false">Inputs!$B$9+Inputs!$B$5*SIN(RADIANS(A338))</f>
        <v>-0.473848189183307</v>
      </c>
      <c r="F338" s="12" t="n">
        <f aca="false">-Inputs!$B$6*(1-COS(RADIANS(C338)))</f>
        <v>-0.021647172065686</v>
      </c>
      <c r="G338" s="12" t="n">
        <f aca="false">C338*Inputs!$B$7</f>
        <v>-5.23133726161461</v>
      </c>
      <c r="H338" s="12" t="n">
        <f aca="false">SQRT(D338^2+E338^2)</f>
        <v>1.165</v>
      </c>
    </row>
    <row r="339" customFormat="false" ht="15" hidden="false" customHeight="false" outlineLevel="0" collapsed="false">
      <c r="A339" s="12" t="n">
        <f aca="false">337*Inputs!$B$10*Inputs!$B$7</f>
        <v>337</v>
      </c>
      <c r="B339" s="12" t="n">
        <f aca="false">337*Inputs!$B$10</f>
        <v>337</v>
      </c>
      <c r="C339" s="12" t="n">
        <f aca="false">DEGREES(ASIN(MIN(MAX(Inputs!$B$5/Inputs!$B$6*SIN(RADIANS(A339)),-1),1)))</f>
        <v>-5.02493827496937</v>
      </c>
      <c r="D339" s="12" t="n">
        <f aca="false">Inputs!$B$8+Inputs!$B$5*COS(RADIANS(A339))</f>
        <v>1.07238815427209</v>
      </c>
      <c r="E339" s="12" t="n">
        <f aca="false">Inputs!$B$9+Inputs!$B$5*SIN(RADIANS(A339))</f>
        <v>-0.455201764690004</v>
      </c>
      <c r="F339" s="12" t="n">
        <f aca="false">-Inputs!$B$6*(1-COS(RADIANS(C339)))</f>
        <v>-0.0199737924728347</v>
      </c>
      <c r="G339" s="12" t="n">
        <f aca="false">C339*Inputs!$B$7</f>
        <v>-5.02493827496937</v>
      </c>
      <c r="H339" s="12" t="n">
        <f aca="false">SQRT(D339^2+E339^2)</f>
        <v>1.165</v>
      </c>
    </row>
    <row r="340" customFormat="false" ht="15" hidden="false" customHeight="false" outlineLevel="0" collapsed="false">
      <c r="A340" s="12" t="n">
        <f aca="false">338*Inputs!$B$10*Inputs!$B$7</f>
        <v>338</v>
      </c>
      <c r="B340" s="12" t="n">
        <f aca="false">338*Inputs!$B$10</f>
        <v>338</v>
      </c>
      <c r="C340" s="12" t="n">
        <f aca="false">DEGREES(ASIN(MIN(MAX(Inputs!$B$5/Inputs!$B$6*SIN(RADIANS(A340)),-1),1)))</f>
        <v>-4.81707053983093</v>
      </c>
      <c r="D340" s="12" t="n">
        <f aca="false">Inputs!$B$8+Inputs!$B$5*COS(RADIANS(A340))</f>
        <v>1.08016919057031</v>
      </c>
      <c r="E340" s="12" t="n">
        <f aca="false">Inputs!$B$9+Inputs!$B$5*SIN(RADIANS(A340))</f>
        <v>-0.436416681329538</v>
      </c>
      <c r="F340" s="12" t="n">
        <f aca="false">-Inputs!$B$6*(1-COS(RADIANS(C340)))</f>
        <v>-0.0183564053646911</v>
      </c>
      <c r="G340" s="12" t="n">
        <f aca="false">C340*Inputs!$B$7</f>
        <v>-4.81707053983093</v>
      </c>
      <c r="H340" s="12" t="n">
        <f aca="false">SQRT(D340^2+E340^2)</f>
        <v>1.165</v>
      </c>
    </row>
    <row r="341" customFormat="false" ht="15" hidden="false" customHeight="false" outlineLevel="0" collapsed="false">
      <c r="A341" s="12" t="n">
        <f aca="false">339*Inputs!$B$10*Inputs!$B$7</f>
        <v>339</v>
      </c>
      <c r="B341" s="12" t="n">
        <f aca="false">339*Inputs!$B$10</f>
        <v>339</v>
      </c>
      <c r="C341" s="12" t="n">
        <f aca="false">DEGREES(ASIN(MIN(MAX(Inputs!$B$5/Inputs!$B$6*SIN(RADIANS(A341)),-1),1)))</f>
        <v>-4.60779598662432</v>
      </c>
      <c r="D341" s="12" t="n">
        <f aca="false">Inputs!$B$8+Inputs!$B$5*COS(RADIANS(A341))</f>
        <v>1.08762119686924</v>
      </c>
      <c r="E341" s="12" t="n">
        <f aca="false">Inputs!$B$9+Inputs!$B$5*SIN(RADIANS(A341))</f>
        <v>-0.417498661220275</v>
      </c>
      <c r="F341" s="12" t="n">
        <f aca="false">-Inputs!$B$6*(1-COS(RADIANS(C341)))</f>
        <v>-0.0167969279304043</v>
      </c>
      <c r="G341" s="12" t="n">
        <f aca="false">C341*Inputs!$B$7</f>
        <v>-4.60779598662432</v>
      </c>
      <c r="H341" s="12" t="n">
        <f aca="false">SQRT(D341^2+E341^2)</f>
        <v>1.165</v>
      </c>
    </row>
    <row r="342" customFormat="false" ht="15" hidden="false" customHeight="false" outlineLevel="0" collapsed="false">
      <c r="A342" s="12" t="n">
        <f aca="false">340*Inputs!$B$10*Inputs!$B$7</f>
        <v>340</v>
      </c>
      <c r="B342" s="12" t="n">
        <f aca="false">340*Inputs!$B$10</f>
        <v>340</v>
      </c>
      <c r="C342" s="12" t="n">
        <f aca="false">DEGREES(ASIN(MIN(MAX(Inputs!$B$5/Inputs!$B$6*SIN(RADIANS(A342)),-1),1)))</f>
        <v>-4.39717681371951</v>
      </c>
      <c r="D342" s="12" t="n">
        <f aca="false">Inputs!$B$8+Inputs!$B$5*COS(RADIANS(A342))</f>
        <v>1.09474190321558</v>
      </c>
      <c r="E342" s="12" t="n">
        <f aca="false">Inputs!$B$9+Inputs!$B$5*SIN(RADIANS(A342))</f>
        <v>-0.398453466974405</v>
      </c>
      <c r="F342" s="12" t="n">
        <f aca="false">-Inputs!$B$6*(1-COS(RADIANS(C342)))</f>
        <v>-0.0152972070316428</v>
      </c>
      <c r="G342" s="12" t="n">
        <f aca="false">C342*Inputs!$B$7</f>
        <v>-4.39717681371951</v>
      </c>
      <c r="H342" s="12" t="n">
        <f aca="false">SQRT(D342^2+E342^2)</f>
        <v>1.165</v>
      </c>
    </row>
    <row r="343" customFormat="false" ht="15" hidden="false" customHeight="false" outlineLevel="0" collapsed="false">
      <c r="A343" s="12" t="n">
        <f aca="false">341*Inputs!$B$10*Inputs!$B$7</f>
        <v>341</v>
      </c>
      <c r="B343" s="12" t="n">
        <f aca="false">341*Inputs!$B$10</f>
        <v>341</v>
      </c>
      <c r="C343" s="12" t="n">
        <f aca="false">DEGREES(ASIN(MIN(MAX(Inputs!$B$5/Inputs!$B$6*SIN(RADIANS(A343)),-1),1)))</f>
        <v>-4.18527547285736</v>
      </c>
      <c r="D343" s="12" t="n">
        <f aca="false">Inputs!$B$8+Inputs!$B$5*COS(RADIANS(A343))</f>
        <v>1.1015291405732</v>
      </c>
      <c r="E343" s="12" t="n">
        <f aca="false">Inputs!$B$9+Inputs!$B$5*SIN(RADIANS(A343))</f>
        <v>-0.379286899942588</v>
      </c>
      <c r="F343" s="12" t="n">
        <f aca="false">-Inputs!$B$6*(1-COS(RADIANS(C343)))</f>
        <v>-0.0138590172047278</v>
      </c>
      <c r="G343" s="12" t="n">
        <f aca="false">C343*Inputs!$B$7</f>
        <v>-4.18527547285736</v>
      </c>
      <c r="H343" s="12" t="n">
        <f aca="false">SQRT(D343^2+E343^2)</f>
        <v>1.165</v>
      </c>
    </row>
    <row r="344" customFormat="false" ht="15" hidden="false" customHeight="false" outlineLevel="0" collapsed="false">
      <c r="A344" s="12" t="n">
        <f aca="false">342*Inputs!$B$10*Inputs!$B$7</f>
        <v>342</v>
      </c>
      <c r="B344" s="12" t="n">
        <f aca="false">342*Inputs!$B$10</f>
        <v>342</v>
      </c>
      <c r="C344" s="12" t="n">
        <f aca="false">DEGREES(ASIN(MIN(MAX(Inputs!$B$5/Inputs!$B$6*SIN(RADIANS(A344)),-1),1)))</f>
        <v>-3.97215465488642</v>
      </c>
      <c r="D344" s="12" t="n">
        <f aca="false">Inputs!$B$8+Inputs!$B$5*COS(RADIANS(A344))</f>
        <v>1.10798084148385</v>
      </c>
      <c r="E344" s="12" t="n">
        <f aca="false">Inputs!$B$9+Inputs!$B$5*SIN(RADIANS(A344))</f>
        <v>-0.360004798446814</v>
      </c>
      <c r="F344" s="12" t="n">
        <f aca="false">-Inputs!$B$6*(1-COS(RADIANS(C344)))</f>
        <v>-0.0124840587480811</v>
      </c>
      <c r="G344" s="12" t="n">
        <f aca="false">C344*Inputs!$B$7</f>
        <v>-3.97215465488642</v>
      </c>
      <c r="H344" s="12" t="n">
        <f aca="false">SQRT(D344^2+E344^2)</f>
        <v>1.165</v>
      </c>
    </row>
    <row r="345" customFormat="false" ht="15" hidden="false" customHeight="false" outlineLevel="0" collapsed="false">
      <c r="A345" s="12" t="n">
        <f aca="false">343*Inputs!$B$10*Inputs!$B$7</f>
        <v>343</v>
      </c>
      <c r="B345" s="12" t="n">
        <f aca="false">343*Inputs!$B$10</f>
        <v>343</v>
      </c>
      <c r="C345" s="12" t="n">
        <f aca="false">DEGREES(ASIN(MIN(MAX(Inputs!$B$5/Inputs!$B$6*SIN(RADIANS(A345)),-1),1)))</f>
        <v>-3.75787727580123</v>
      </c>
      <c r="D345" s="12" t="n">
        <f aca="false">Inputs!$B$8+Inputs!$B$5*COS(RADIANS(A345))</f>
        <v>1.11409504069694</v>
      </c>
      <c r="E345" s="12" t="n">
        <f aca="false">Inputs!$B$9+Inputs!$B$5*SIN(RADIANS(A345))</f>
        <v>-0.340613036001989</v>
      </c>
      <c r="F345" s="12" t="n">
        <f aca="false">-Inputs!$B$6*(1-COS(RADIANS(C345)))</f>
        <v>-0.0111739558961769</v>
      </c>
      <c r="G345" s="12" t="n">
        <f aca="false">C345*Inputs!$B$7</f>
        <v>-3.75787727580123</v>
      </c>
      <c r="H345" s="12" t="n">
        <f aca="false">SQRT(D345^2+E345^2)</f>
        <v>1.165</v>
      </c>
    </row>
    <row r="346" customFormat="false" ht="15" hidden="false" customHeight="false" outlineLevel="0" collapsed="false">
      <c r="A346" s="12" t="n">
        <f aca="false">344*Inputs!$B$10*Inputs!$B$7</f>
        <v>344</v>
      </c>
      <c r="B346" s="12" t="n">
        <f aca="false">344*Inputs!$B$10</f>
        <v>344</v>
      </c>
      <c r="C346" s="12" t="n">
        <f aca="false">DEGREES(ASIN(MIN(MAX(Inputs!$B$5/Inputs!$B$6*SIN(RADIANS(A346)),-1),1)))</f>
        <v>-3.54250646307235</v>
      </c>
      <c r="D346" s="12" t="n">
        <f aca="false">Inputs!$B$8+Inputs!$B$5*COS(RADIANS(A346))</f>
        <v>1.11986987576814</v>
      </c>
      <c r="E346" s="12" t="n">
        <f aca="false">Inputs!$B$9+Inputs!$B$5*SIN(RADIANS(A346))</f>
        <v>-0.321117519526804</v>
      </c>
      <c r="F346" s="12" t="n">
        <f aca="false">-Inputs!$B$6*(1-COS(RADIANS(C346)))</f>
        <v>-0.00993025508110656</v>
      </c>
      <c r="G346" s="12" t="n">
        <f aca="false">C346*Inputs!$B$7</f>
        <v>-3.54250646307235</v>
      </c>
      <c r="H346" s="12" t="n">
        <f aca="false">SQRT(D346^2+E346^2)</f>
        <v>1.165</v>
      </c>
    </row>
    <row r="347" customFormat="false" ht="15" hidden="false" customHeight="false" outlineLevel="0" collapsed="false">
      <c r="A347" s="12" t="n">
        <f aca="false">345*Inputs!$B$10*Inputs!$B$7</f>
        <v>345</v>
      </c>
      <c r="B347" s="12" t="n">
        <f aca="false">345*Inputs!$B$10</f>
        <v>345</v>
      </c>
      <c r="C347" s="12" t="n">
        <f aca="false">DEGREES(ASIN(MIN(MAX(Inputs!$B$5/Inputs!$B$6*SIN(RADIANS(A347)),-1),1)))</f>
        <v>-3.32610554225705</v>
      </c>
      <c r="D347" s="12" t="n">
        <f aca="false">Inputs!$B$8+Inputs!$B$5*COS(RADIANS(A347))</f>
        <v>1.12530358762676</v>
      </c>
      <c r="E347" s="12" t="n">
        <f aca="false">Inputs!$B$9+Inputs!$B$5*SIN(RADIANS(A347))</f>
        <v>-0.301524187544437</v>
      </c>
      <c r="F347" s="12" t="n">
        <f aca="false">-Inputs!$B$6*(1-COS(RADIANS(C347)))</f>
        <v>-0.00875442328279286</v>
      </c>
      <c r="G347" s="12" t="n">
        <f aca="false">C347*Inputs!$B$7</f>
        <v>-3.32610554225705</v>
      </c>
      <c r="H347" s="12" t="n">
        <f aca="false">SQRT(D347^2+E347^2)</f>
        <v>1.165</v>
      </c>
    </row>
    <row r="348" customFormat="false" ht="15" hidden="false" customHeight="false" outlineLevel="0" collapsed="false">
      <c r="A348" s="12" t="n">
        <f aca="false">346*Inputs!$B$10*Inputs!$B$7</f>
        <v>346</v>
      </c>
      <c r="B348" s="12" t="n">
        <f aca="false">346*Inputs!$B$10</f>
        <v>346</v>
      </c>
      <c r="C348" s="12" t="n">
        <f aca="false">DEGREES(ASIN(MIN(MAX(Inputs!$B$5/Inputs!$B$6*SIN(RADIANS(A348)),-1),1)))</f>
        <v>-3.10873802387914</v>
      </c>
      <c r="D348" s="12" t="n">
        <f aca="false">Inputs!$B$8+Inputs!$B$5*COS(RADIANS(A348))</f>
        <v>1.13039452111154</v>
      </c>
      <c r="E348" s="12" t="n">
        <f aca="false">Inputs!$B$9+Inputs!$B$5*SIN(RADIANS(A348))</f>
        <v>-0.281839008373613</v>
      </c>
      <c r="F348" s="12" t="n">
        <f aca="false">-Inputs!$B$6*(1-COS(RADIANS(C348)))</f>
        <v>-0.00764784646879297</v>
      </c>
      <c r="G348" s="12" t="n">
        <f aca="false">C348*Inputs!$B$7</f>
        <v>-3.10873802387914</v>
      </c>
      <c r="H348" s="12" t="n">
        <f aca="false">SQRT(D348^2+E348^2)</f>
        <v>1.165</v>
      </c>
    </row>
    <row r="349" customFormat="false" ht="15" hidden="false" customHeight="false" outlineLevel="0" collapsed="false">
      <c r="A349" s="12" t="n">
        <f aca="false">347*Inputs!$B$10*Inputs!$B$7</f>
        <v>347</v>
      </c>
      <c r="B349" s="12" t="n">
        <f aca="false">347*Inputs!$B$10</f>
        <v>347</v>
      </c>
      <c r="C349" s="12" t="n">
        <f aca="false">DEGREES(ASIN(MIN(MAX(Inputs!$B$5/Inputs!$B$6*SIN(RADIANS(A349)),-1),1)))</f>
        <v>-2.89046759056581</v>
      </c>
      <c r="D349" s="12" t="n">
        <f aca="false">Inputs!$B$8+Inputs!$B$5*COS(RADIANS(A349))</f>
        <v>1.1351411254748</v>
      </c>
      <c r="E349" s="12" t="n">
        <f aca="false">Inputs!$B$9+Inputs!$B$5*SIN(RADIANS(A349))</f>
        <v>-0.262067978310603</v>
      </c>
      <c r="F349" s="12" t="n">
        <f aca="false">-Inputs!$B$6*(1-COS(RADIANS(C349)))</f>
        <v>-0.00661182812458684</v>
      </c>
      <c r="G349" s="12" t="n">
        <f aca="false">C349*Inputs!$B$7</f>
        <v>-2.89046759056581</v>
      </c>
      <c r="H349" s="12" t="n">
        <f aca="false">SQRT(D349^2+E349^2)</f>
        <v>1.165</v>
      </c>
    </row>
    <row r="350" customFormat="false" ht="15" hidden="false" customHeight="false" outlineLevel="0" collapsed="false">
      <c r="A350" s="12" t="n">
        <f aca="false">348*Inputs!$B$10*Inputs!$B$7</f>
        <v>348</v>
      </c>
      <c r="B350" s="12" t="n">
        <f aca="false">348*Inputs!$B$10</f>
        <v>348</v>
      </c>
      <c r="C350" s="12" t="n">
        <f aca="false">DEGREES(ASIN(MIN(MAX(Inputs!$B$5/Inputs!$B$6*SIN(RADIANS(A350)),-1),1)))</f>
        <v>-2.67135808442832</v>
      </c>
      <c r="D350" s="12" t="n">
        <f aca="false">Inputs!$B$8+Inputs!$B$5*COS(RADIANS(A350))</f>
        <v>1.13954195485488</v>
      </c>
      <c r="E350" s="12" t="n">
        <f aca="false">Inputs!$B$9+Inputs!$B$5*SIN(RADIANS(A350))</f>
        <v>-0.24221711980269</v>
      </c>
      <c r="F350" s="12" t="n">
        <f aca="false">-Inputs!$B$6*(1-COS(RADIANS(C350)))</f>
        <v>-0.00564758787515118</v>
      </c>
      <c r="G350" s="12" t="n">
        <f aca="false">C350*Inputs!$B$7</f>
        <v>-2.67135808442832</v>
      </c>
      <c r="H350" s="12" t="n">
        <f aca="false">SQRT(D350^2+E350^2)</f>
        <v>1.165</v>
      </c>
    </row>
    <row r="351" customFormat="false" ht="15" hidden="false" customHeight="false" outlineLevel="0" collapsed="false">
      <c r="A351" s="12" t="n">
        <f aca="false">349*Inputs!$B$10*Inputs!$B$7</f>
        <v>349</v>
      </c>
      <c r="B351" s="12" t="n">
        <f aca="false">349*Inputs!$B$10</f>
        <v>349</v>
      </c>
      <c r="C351" s="12" t="n">
        <f aca="false">DEGREES(ASIN(MIN(MAX(Inputs!$B$5/Inputs!$B$6*SIN(RADIANS(A351)),-1),1)))</f>
        <v>-2.45147349467327</v>
      </c>
      <c r="D351" s="12" t="n">
        <f aca="false">Inputs!$B$8+Inputs!$B$5*COS(RADIANS(A351))</f>
        <v>1.14359566871653</v>
      </c>
      <c r="E351" s="12" t="n">
        <f aca="false">Inputs!$B$9+Inputs!$B$5*SIN(RADIANS(A351))</f>
        <v>-0.222292479613675</v>
      </c>
      <c r="F351" s="12" t="n">
        <f aca="false">-Inputs!$B$6*(1-COS(RADIANS(C351)))</f>
        <v>-0.00475626019856397</v>
      </c>
      <c r="G351" s="12" t="n">
        <f aca="false">C351*Inputs!$B$7</f>
        <v>-2.45147349467327</v>
      </c>
      <c r="H351" s="12" t="n">
        <f aca="false">SQRT(D351^2+E351^2)</f>
        <v>1.165</v>
      </c>
    </row>
    <row r="352" customFormat="false" ht="15" hidden="false" customHeight="false" outlineLevel="0" collapsed="false">
      <c r="A352" s="12" t="n">
        <f aca="false">350*Inputs!$B$10*Inputs!$B$7</f>
        <v>350</v>
      </c>
      <c r="B352" s="12" t="n">
        <f aca="false">350*Inputs!$B$10</f>
        <v>350</v>
      </c>
      <c r="C352" s="12" t="n">
        <f aca="false">DEGREES(ASIN(MIN(MAX(Inputs!$B$5/Inputs!$B$6*SIN(RADIANS(A352)),-1),1)))</f>
        <v>-2.23087794543018</v>
      </c>
      <c r="D352" s="12" t="n">
        <f aca="false">Inputs!$B$8+Inputs!$B$5*COS(RADIANS(A352))</f>
        <v>1.14730103225922</v>
      </c>
      <c r="E352" s="12" t="n">
        <f aca="false">Inputs!$B$9+Inputs!$B$5*SIN(RADIANS(A352))</f>
        <v>-0.202300126981974</v>
      </c>
      <c r="F352" s="12" t="n">
        <f aca="false">-Inputs!$B$6*(1-COS(RADIANS(C352)))</f>
        <v>-0.00393889323232837</v>
      </c>
      <c r="G352" s="12" t="n">
        <f aca="false">C352*Inputs!$B$7</f>
        <v>-2.23087794543018</v>
      </c>
      <c r="H352" s="12" t="n">
        <f aca="false">SQRT(D352^2+E352^2)</f>
        <v>1.165</v>
      </c>
    </row>
    <row r="353" customFormat="false" ht="15" hidden="false" customHeight="false" outlineLevel="0" collapsed="false">
      <c r="A353" s="12" t="n">
        <f aca="false">351*Inputs!$B$10*Inputs!$B$7</f>
        <v>351</v>
      </c>
      <c r="B353" s="12" t="n">
        <f aca="false">351*Inputs!$B$10</f>
        <v>351</v>
      </c>
      <c r="C353" s="12" t="n">
        <f aca="false">DEGREES(ASIN(MIN(MAX(Inputs!$B$5/Inputs!$B$6*SIN(RADIANS(A353)),-1),1)))</f>
        <v>-2.00963568378074</v>
      </c>
      <c r="D353" s="12" t="n">
        <f aca="false">Inputs!$B$8+Inputs!$B$5*COS(RADIANS(A353))</f>
        <v>1.15065691679334</v>
      </c>
      <c r="E353" s="12" t="n">
        <f aca="false">Inputs!$B$9+Inputs!$B$5*SIN(RADIANS(A353))</f>
        <v>-0.182246151771869</v>
      </c>
      <c r="F353" s="12" t="n">
        <f aca="false">-Inputs!$B$6*(1-COS(RADIANS(C353)))</f>
        <v>-0.00319644767302133</v>
      </c>
      <c r="G353" s="12" t="n">
        <f aca="false">C353*Inputs!$B$7</f>
        <v>-2.00963568378074</v>
      </c>
      <c r="H353" s="12" t="n">
        <f aca="false">SQRT(D353^2+E353^2)</f>
        <v>1.165</v>
      </c>
    </row>
    <row r="354" customFormat="false" ht="15" hidden="false" customHeight="false" outlineLevel="0" collapsed="false">
      <c r="A354" s="12" t="n">
        <f aca="false">352*Inputs!$B$10*Inputs!$B$7</f>
        <v>352</v>
      </c>
      <c r="B354" s="12" t="n">
        <f aca="false">352*Inputs!$B$10</f>
        <v>352</v>
      </c>
      <c r="C354" s="12" t="n">
        <f aca="false">DEGREES(ASIN(MIN(MAX(Inputs!$B$5/Inputs!$B$6*SIN(RADIANS(A354)),-1),1)))</f>
        <v>-1.78781106797471</v>
      </c>
      <c r="D354" s="12" t="n">
        <f aca="false">Inputs!$B$8+Inputs!$B$5*COS(RADIANS(A354))</f>
        <v>1.15366230008393</v>
      </c>
      <c r="E354" s="12" t="n">
        <f aca="false">Inputs!$B$9+Inputs!$B$5*SIN(RADIANS(A354))</f>
        <v>-0.162136662618477</v>
      </c>
      <c r="F354" s="12" t="n">
        <f aca="false">-Inputs!$B$6*(1-COS(RADIANS(C354)))</f>
        <v>-0.00252979576983803</v>
      </c>
      <c r="G354" s="12" t="n">
        <f aca="false">C354*Inputs!$B$7</f>
        <v>-1.78781106797471</v>
      </c>
      <c r="H354" s="12" t="n">
        <f aca="false">SQRT(D354^2+E354^2)</f>
        <v>1.165</v>
      </c>
    </row>
    <row r="355" customFormat="false" ht="15" hidden="false" customHeight="false" outlineLevel="0" collapsed="false">
      <c r="A355" s="12" t="n">
        <f aca="false">353*Inputs!$B$10*Inputs!$B$7</f>
        <v>353</v>
      </c>
      <c r="B355" s="12" t="n">
        <f aca="false">353*Inputs!$B$10</f>
        <v>353</v>
      </c>
      <c r="C355" s="12" t="n">
        <f aca="false">DEGREES(ASIN(MIN(MAX(Inputs!$B$5/Inputs!$B$6*SIN(RADIANS(A355)),-1),1)))</f>
        <v>-1.56546855581686</v>
      </c>
      <c r="D355" s="12" t="n">
        <f aca="false">Inputs!$B$8+Inputs!$B$5*COS(RADIANS(A355))</f>
        <v>1.15631626666214</v>
      </c>
      <c r="E355" s="12" t="n">
        <f aca="false">Inputs!$B$9+Inputs!$B$5*SIN(RADIANS(A355))</f>
        <v>-0.141977785066998</v>
      </c>
      <c r="F355" s="12" t="n">
        <f aca="false">-Inputs!$B$6*(1-COS(RADIANS(C355)))</f>
        <v>-0.00193972041252736</v>
      </c>
      <c r="G355" s="12" t="n">
        <f aca="false">C355*Inputs!$B$7</f>
        <v>-1.56546855581686</v>
      </c>
      <c r="H355" s="12" t="n">
        <f aca="false">SQRT(D355^2+E355^2)</f>
        <v>1.165</v>
      </c>
    </row>
    <row r="356" customFormat="false" ht="15" hidden="false" customHeight="false" outlineLevel="0" collapsed="false">
      <c r="A356" s="12" t="n">
        <f aca="false">354*Inputs!$B$10*Inputs!$B$7</f>
        <v>354</v>
      </c>
      <c r="B356" s="12" t="n">
        <f aca="false">354*Inputs!$B$10</f>
        <v>354</v>
      </c>
      <c r="C356" s="12" t="n">
        <f aca="false">DEGREES(ASIN(MIN(MAX(Inputs!$B$5/Inputs!$B$6*SIN(RADIANS(A356)),-1),1)))</f>
        <v>-1.34267269320904</v>
      </c>
      <c r="D356" s="12" t="n">
        <f aca="false">Inputs!$B$8+Inputs!$B$5*COS(RADIANS(A356))</f>
        <v>1.15861800810404</v>
      </c>
      <c r="E356" s="12" t="n">
        <f aca="false">Inputs!$B$9+Inputs!$B$5*SIN(RADIANS(A356))</f>
        <v>-0.121775659706817</v>
      </c>
      <c r="F356" s="12" t="n">
        <f aca="false">-Inputs!$B$6*(1-COS(RADIANS(C356)))</f>
        <v>-0.00142691431417059</v>
      </c>
      <c r="G356" s="12" t="n">
        <f aca="false">C356*Inputs!$B$7</f>
        <v>-1.34267269320904</v>
      </c>
      <c r="H356" s="12" t="n">
        <f aca="false">SQRT(D356^2+E356^2)</f>
        <v>1.165</v>
      </c>
    </row>
    <row r="357" customFormat="false" ht="15" hidden="false" customHeight="false" outlineLevel="0" collapsed="false">
      <c r="A357" s="12" t="n">
        <f aca="false">355*Inputs!$B$10*Inputs!$B$7</f>
        <v>355</v>
      </c>
      <c r="B357" s="12" t="n">
        <f aca="false">355*Inputs!$B$10</f>
        <v>355</v>
      </c>
      <c r="C357" s="12" t="n">
        <f aca="false">DEGREES(ASIN(MIN(MAX(Inputs!$B$5/Inputs!$B$6*SIN(RADIANS(A357)),-1),1)))</f>
        <v>-1.11948810283088</v>
      </c>
      <c r="D357" s="12" t="n">
        <f aca="false">Inputs!$B$8+Inputs!$B$5*COS(RADIANS(A357))</f>
        <v>1.16056682327688</v>
      </c>
      <c r="E357" s="12" t="n">
        <f aca="false">Inputs!$B$9+Inputs!$B$5*SIN(RADIANS(A357))</f>
        <v>-0.101536440301022</v>
      </c>
      <c r="F357" s="12" t="n">
        <f aca="false">-Inputs!$B$6*(1-COS(RADIANS(C357)))</f>
        <v>-0.000991979289196938</v>
      </c>
      <c r="G357" s="12" t="n">
        <f aca="false">C357*Inputs!$B$7</f>
        <v>-1.11948810283088</v>
      </c>
      <c r="H357" s="12" t="n">
        <f aca="false">SQRT(D357^2+E357^2)</f>
        <v>1.165</v>
      </c>
    </row>
    <row r="358" customFormat="false" ht="15" hidden="false" customHeight="false" outlineLevel="0" collapsed="false">
      <c r="A358" s="12" t="n">
        <f aca="false">356*Inputs!$B$10*Inputs!$B$7</f>
        <v>356</v>
      </c>
      <c r="B358" s="12" t="n">
        <f aca="false">356*Inputs!$B$10</f>
        <v>356</v>
      </c>
      <c r="C358" s="12" t="n">
        <f aca="false">DEGREES(ASIN(MIN(MAX(Inputs!$B$5/Inputs!$B$6*SIN(RADIANS(A358)),-1),1)))</f>
        <v>-0.895979472942743</v>
      </c>
      <c r="D358" s="12" t="n">
        <f aca="false">Inputs!$B$8+Inputs!$B$5*COS(RADIANS(A358))</f>
        <v>1.1621621185527</v>
      </c>
      <c r="E358" s="12" t="n">
        <f aca="false">Inputs!$B$9+Inputs!$B$5*SIN(RADIANS(A358))</f>
        <v>-0.0812662919119064</v>
      </c>
      <c r="F358" s="12" t="n">
        <f aca="false">-Inputs!$B$6*(1-COS(RADIANS(C358)))</f>
        <v>-0.000635425626980894</v>
      </c>
      <c r="G358" s="12" t="n">
        <f aca="false">C358*Inputs!$B$7</f>
        <v>-0.895979472942743</v>
      </c>
      <c r="H358" s="12" t="n">
        <f aca="false">SQRT(D358^2+E358^2)</f>
        <v>1.165</v>
      </c>
    </row>
    <row r="359" customFormat="false" ht="15" hidden="false" customHeight="false" outlineLevel="0" collapsed="false">
      <c r="A359" s="12" t="n">
        <f aca="false">357*Inputs!$B$10*Inputs!$B$7</f>
        <v>357</v>
      </c>
      <c r="B359" s="12" t="n">
        <f aca="false">357*Inputs!$B$10</f>
        <v>357</v>
      </c>
      <c r="C359" s="12" t="n">
        <f aca="false">DEGREES(ASIN(MIN(MAX(Inputs!$B$5/Inputs!$B$6*SIN(RADIANS(A359)),-1),1)))</f>
        <v>-0.672211546293759</v>
      </c>
      <c r="D359" s="12" t="n">
        <f aca="false">Inputs!$B$8+Inputs!$B$5*COS(RADIANS(A359))</f>
        <v>1.16340340798908</v>
      </c>
      <c r="E359" s="12" t="n">
        <f aca="false">Inputs!$B$9+Inputs!$B$5*SIN(RADIANS(A359))</f>
        <v>-0.0609713890230292</v>
      </c>
      <c r="F359" s="12" t="n">
        <f aca="false">-Inputs!$B$6*(1-COS(RADIANS(C359)))</f>
        <v>-0.000357671561318559</v>
      </c>
      <c r="G359" s="12" t="n">
        <f aca="false">C359*Inputs!$B$7</f>
        <v>-0.672211546293759</v>
      </c>
      <c r="H359" s="12" t="n">
        <f aca="false">SQRT(D359^2+E359^2)</f>
        <v>1.165</v>
      </c>
    </row>
    <row r="360" customFormat="false" ht="15" hidden="false" customHeight="false" outlineLevel="0" collapsed="false">
      <c r="A360" s="12" t="n">
        <f aca="false">358*Inputs!$B$10*Inputs!$B$7</f>
        <v>358</v>
      </c>
      <c r="B360" s="12" t="n">
        <f aca="false">358*Inputs!$B$10</f>
        <v>358</v>
      </c>
      <c r="C360" s="12" t="n">
        <f aca="false">DEGREES(ASIN(MIN(MAX(Inputs!$B$5/Inputs!$B$6*SIN(RADIANS(A360)),-1),1)))</f>
        <v>-0.448249109117965</v>
      </c>
      <c r="D360" s="12" t="n">
        <f aca="false">Inputs!$B$8+Inputs!$B$5*COS(RADIANS(A360))</f>
        <v>1.16429031347725</v>
      </c>
      <c r="E360" s="12" t="n">
        <f aca="false">Inputs!$B$9+Inputs!$B$5*SIN(RADIANS(A360))</f>
        <v>-0.0406579136584135</v>
      </c>
      <c r="F360" s="12" t="n">
        <f aca="false">-Inputs!$B$6*(1-COS(RADIANS(C360)))</f>
        <v>-0.000159042836028185</v>
      </c>
      <c r="G360" s="12" t="n">
        <f aca="false">C360*Inputs!$B$7</f>
        <v>-0.448249109117965</v>
      </c>
      <c r="H360" s="12" t="n">
        <f aca="false">SQRT(D360^2+E360^2)</f>
        <v>1.165</v>
      </c>
    </row>
    <row r="361" customFormat="false" ht="15" hidden="false" customHeight="false" outlineLevel="0" collapsed="false">
      <c r="A361" s="12" t="n">
        <f aca="false">359*Inputs!$B$10*Inputs!$B$7</f>
        <v>359</v>
      </c>
      <c r="B361" s="12" t="n">
        <f aca="false">359*Inputs!$B$10</f>
        <v>359</v>
      </c>
      <c r="C361" s="12" t="n">
        <f aca="false">DEGREES(ASIN(MIN(MAX(Inputs!$B$5/Inputs!$B$6*SIN(RADIANS(A361)),-1),1)))</f>
        <v>-0.224156980200996</v>
      </c>
      <c r="D361" s="12" t="n">
        <f aca="false">Inputs!$B$8+Inputs!$B$5*COS(RADIANS(A361))</f>
        <v>1.1648225648572</v>
      </c>
      <c r="E361" s="12" t="n">
        <f aca="false">Inputs!$B$9+Inputs!$B$5*SIN(RADIANS(A361))</f>
        <v>-0.0203320534994354</v>
      </c>
      <c r="F361" s="12" t="n">
        <f aca="false">-Inputs!$B$6*(1-COS(RADIANS(C361)))</f>
        <v>-3.97723668797299E-005</v>
      </c>
      <c r="G361" s="12" t="n">
        <f aca="false">C361*Inputs!$B$7</f>
        <v>-0.224156980200996</v>
      </c>
      <c r="H361" s="12" t="n">
        <f aca="false">SQRT(D361^2+E361^2)</f>
        <v>1.165</v>
      </c>
    </row>
    <row r="362" customFormat="false" ht="15" hidden="false" customHeight="false" outlineLevel="0" collapsed="false">
      <c r="A362" s="12" t="n">
        <f aca="false">360*Inputs!$B$10*Inputs!$B$7</f>
        <v>360</v>
      </c>
      <c r="B362" s="12" t="n">
        <f aca="false">360*Inputs!$B$10</f>
        <v>360</v>
      </c>
      <c r="C362" s="12" t="n">
        <f aca="false">DEGREES(ASIN(MIN(MAX(Inputs!$B$5/Inputs!$B$6*SIN(RADIANS(A362)),-1),1)))</f>
        <v>-3.14584042054767E-015</v>
      </c>
      <c r="D362" s="12" t="n">
        <f aca="false">Inputs!$B$8+Inputs!$B$5*COS(RADIANS(A362))</f>
        <v>1.165</v>
      </c>
      <c r="E362" s="12" t="n">
        <f aca="false">Inputs!$B$9+Inputs!$B$5*SIN(RADIANS(A362))</f>
        <v>-2.85342704201333E-016</v>
      </c>
      <c r="F362" s="12" t="n">
        <f aca="false">-Inputs!$B$6*(1-COS(RADIANS(C362)))</f>
        <v>-0</v>
      </c>
      <c r="G362" s="12" t="n">
        <f aca="false">C362*Inputs!$B$7</f>
        <v>-3.14584042054767E-015</v>
      </c>
      <c r="H362" s="12" t="n">
        <f aca="false">SQRT(D362^2+E362^2)</f>
        <v>1.165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73" activeCellId="0" sqref="G37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8" min="3" style="1" width="12"/>
  </cols>
  <sheetData>
    <row r="1" customFormat="false" ht="15" hidden="false" customHeight="false" outlineLevel="0" collapsed="false">
      <c r="A1" s="9" t="s">
        <v>36</v>
      </c>
    </row>
    <row r="2" customFormat="false" ht="15" hidden="false" customHeight="false" outlineLevel="0" collapsed="false">
      <c r="A2" s="3" t="s">
        <v>37</v>
      </c>
    </row>
    <row r="3" customFormat="false" ht="15" hidden="false" customHeight="false" outlineLevel="0" collapsed="false">
      <c r="A3" s="13" t="s">
        <v>38</v>
      </c>
      <c r="B3" s="13" t="s">
        <v>39</v>
      </c>
      <c r="C3" s="13" t="s">
        <v>40</v>
      </c>
      <c r="D3" s="13" t="s">
        <v>41</v>
      </c>
      <c r="E3" s="13" t="s">
        <v>42</v>
      </c>
      <c r="F3" s="13" t="s">
        <v>43</v>
      </c>
      <c r="G3" s="13" t="s">
        <v>44</v>
      </c>
      <c r="H3" s="13" t="s">
        <v>45</v>
      </c>
    </row>
    <row r="4" customFormat="false" ht="15" hidden="false" customHeight="false" outlineLevel="0" collapsed="false">
      <c r="A4" s="14" t="s">
        <v>46</v>
      </c>
      <c r="B4" s="14" t="s">
        <v>47</v>
      </c>
      <c r="C4" s="14" t="s">
        <v>48</v>
      </c>
      <c r="D4" s="14" t="s">
        <v>49</v>
      </c>
    </row>
    <row r="5" customFormat="false" ht="15" hidden="false" customHeight="false" outlineLevel="0" collapsed="false">
      <c r="A5" s="14"/>
      <c r="B5" s="14" t="s">
        <v>50</v>
      </c>
    </row>
    <row r="6" customFormat="false" ht="15" hidden="false" customHeight="false" outlineLevel="0" collapsed="false">
      <c r="A6" s="14"/>
      <c r="B6" s="14" t="s">
        <v>51</v>
      </c>
      <c r="F6" s="14" t="s">
        <v>52</v>
      </c>
      <c r="G6" s="14" t="s">
        <v>53</v>
      </c>
      <c r="H6" s="14" t="str">
        <f aca="false">CONCATENATE("Z",TEXT(Inputs!B11,"0.0000"))</f>
        <v>Z1.0000</v>
      </c>
    </row>
    <row r="7" customFormat="false" ht="15" hidden="false" customHeight="false" outlineLevel="0" collapsed="false">
      <c r="A7" s="14"/>
      <c r="B7" s="14" t="s">
        <v>51</v>
      </c>
      <c r="C7" s="14" t="str">
        <f aca="false">CONCATENATE("X",TEXT(ABS(Inputs!B8+Inputs!B5),"0.0000"))</f>
        <v>X1.1650</v>
      </c>
      <c r="D7" s="14" t="str">
        <f aca="false">CONCATENATE("Y",TEXT(ABS(Inputs!B9),"0.0000"))</f>
        <v>Y0.0000</v>
      </c>
    </row>
    <row r="8" customFormat="false" ht="15" hidden="false" customHeight="false" outlineLevel="0" collapsed="false">
      <c r="A8" s="14"/>
      <c r="B8" s="14" t="s">
        <v>54</v>
      </c>
      <c r="H8" s="14" t="str">
        <f aca="false">CONCATENATE("H",TEXT(Inputs!B14,"0"))</f>
        <v>H1</v>
      </c>
    </row>
    <row r="9" customFormat="false" ht="15" hidden="false" customHeight="false" outlineLevel="0" collapsed="false">
      <c r="A9" s="14"/>
      <c r="B9" s="14" t="s">
        <v>55</v>
      </c>
      <c r="H9" s="14" t="str">
        <f aca="false">CONCATENATE("S",TEXT(Inputs!B12,"0"))</f>
        <v>S1200</v>
      </c>
    </row>
    <row r="10" customFormat="false" ht="15" hidden="false" customHeight="false" outlineLevel="0" collapsed="false">
      <c r="A10" s="14"/>
      <c r="B10" s="14" t="s">
        <v>51</v>
      </c>
      <c r="C10" s="14" t="str">
        <f aca="false">CONCATENATE("X",TEXT(ABS(Inputs!B8+Inputs!B5),"0.0000"))</f>
        <v>X1.1650</v>
      </c>
      <c r="D10" s="14" t="str">
        <f aca="false">CONCATENATE("Y",TEXT(ABS(Inputs!B9),"0.0000"))</f>
        <v>Y0.0000</v>
      </c>
      <c r="E10" s="14" t="str">
        <f aca="false">CONCATENATE("Z",TEXT(Inputs!B11,"0.0000"))</f>
        <v>Z1.0000</v>
      </c>
      <c r="F10" s="14" t="s">
        <v>52</v>
      </c>
      <c r="G10" s="14" t="s">
        <v>53</v>
      </c>
    </row>
    <row r="11" customFormat="false" ht="15" hidden="false" customHeight="false" outlineLevel="0" collapsed="false">
      <c r="A11" s="14"/>
      <c r="B11" s="14" t="s">
        <v>56</v>
      </c>
      <c r="C11" s="14" t="str">
        <f aca="false">CONCATENATE("X",TEXT(ABS(Inputs!B8+Inputs!B5),"0.0000"))</f>
        <v>X1.1650</v>
      </c>
      <c r="D11" s="14" t="str">
        <f aca="false">CONCATENATE("Y",TEXT(ABS(Inputs!B9),"0.0000"))</f>
        <v>Y0.0000</v>
      </c>
      <c r="E11" s="14" t="s">
        <v>57</v>
      </c>
      <c r="F11" s="14" t="s">
        <v>52</v>
      </c>
      <c r="G11" s="14" t="s">
        <v>53</v>
      </c>
      <c r="H11" s="14" t="str">
        <f aca="false">CONCATENATE("F",TEXT(Inputs!B13,"0.0"))</f>
        <v>F8.0</v>
      </c>
    </row>
    <row r="12" customFormat="false" ht="15" hidden="false" customHeight="false" outlineLevel="0" collapsed="false">
      <c r="A12" s="14" t="s">
        <v>58</v>
      </c>
    </row>
    <row r="13" customFormat="false" ht="13.8" hidden="false" customHeight="false" outlineLevel="0" collapsed="false">
      <c r="A13" s="15" t="s">
        <v>59</v>
      </c>
      <c r="B13" s="15" t="s">
        <v>56</v>
      </c>
      <c r="C13" s="15" t="str">
        <f aca="false">CONCATENATE("X",IF(Data!D2&lt;0,"-",""),TEXT(ABS(Data!D2),"0.0000"))</f>
        <v>X1.1650</v>
      </c>
      <c r="D13" s="15" t="str">
        <f aca="false">CONCATENATE("Y",IF(Data!E2&lt;0,"-",""),TEXT(ABS(Data!E2),"0.0000"))</f>
        <v>Y0.0000</v>
      </c>
      <c r="E13" s="15" t="str">
        <f aca="false">CONCATENATE("Z",IF(Data!F2&lt;0,"-",""),TEXT(ABS(Data!F2),"0.0000"))</f>
        <v>Z0.0000</v>
      </c>
      <c r="F13" s="15" t="str">
        <f aca="false">CONCATENATE("B",IF(Data!G2&lt;0,"-",""),TEXT(ABS(Data!G2),"0.0000"))</f>
        <v>B0.0000</v>
      </c>
      <c r="G13" s="15" t="str">
        <f aca="false">CONCATENATE("C",IF(Data!A2&lt;0,"-",""),TEXT(ABS(Data!A2),"0.0000"))</f>
        <v>C0.0000</v>
      </c>
    </row>
    <row r="14" customFormat="false" ht="15" hidden="false" customHeight="false" outlineLevel="0" collapsed="false">
      <c r="A14" s="16" t="s">
        <v>60</v>
      </c>
      <c r="B14" s="16" t="s">
        <v>56</v>
      </c>
      <c r="C14" s="16" t="str">
        <f aca="false">CONCATENATE("X",IF(Data!D3&lt;0,"-",""),TEXT(ABS(Data!D3),"0.0000"))</f>
        <v>X1.1648</v>
      </c>
      <c r="D14" s="16" t="str">
        <f aca="false">CONCATENATE("Y",IF(Data!E3&lt;0,"-",""),TEXT(ABS(Data!E3),"0.0000"))</f>
        <v>Y0.0203</v>
      </c>
      <c r="E14" s="16" t="str">
        <f aca="false">CONCATENATE("Z",IF(Data!F3&lt;0,"-",""),TEXT(ABS(Data!F3),"0.0000"))</f>
        <v>Z-0.0000</v>
      </c>
      <c r="F14" s="16" t="str">
        <f aca="false">CONCATENATE("B",IF(Data!G3&lt;0,"-",""),TEXT(ABS(Data!G3),"0.0000"))</f>
        <v>B0.2242</v>
      </c>
      <c r="G14" s="16" t="str">
        <f aca="false">CONCATENATE("C",IF(Data!A3&lt;0,"-",""),TEXT(ABS(Data!A3),"0.0000"))</f>
        <v>C1.0000</v>
      </c>
    </row>
    <row r="15" customFormat="false" ht="15" hidden="false" customHeight="false" outlineLevel="0" collapsed="false">
      <c r="A15" s="16" t="s">
        <v>61</v>
      </c>
      <c r="B15" s="16" t="s">
        <v>56</v>
      </c>
      <c r="C15" s="16" t="str">
        <f aca="false">CONCATENATE("X",IF(Data!D4&lt;0,"-",""),TEXT(ABS(Data!D4),"0.0000"))</f>
        <v>X1.1643</v>
      </c>
      <c r="D15" s="16" t="str">
        <f aca="false">CONCATENATE("Y",IF(Data!E4&lt;0,"-",""),TEXT(ABS(Data!E4),"0.0000"))</f>
        <v>Y0.0407</v>
      </c>
      <c r="E15" s="16" t="str">
        <f aca="false">CONCATENATE("Z",IF(Data!F4&lt;0,"-",""),TEXT(ABS(Data!F4),"0.0000"))</f>
        <v>Z-0.0002</v>
      </c>
      <c r="F15" s="16" t="str">
        <f aca="false">CONCATENATE("B",IF(Data!G4&lt;0,"-",""),TEXT(ABS(Data!G4),"0.0000"))</f>
        <v>B0.4482</v>
      </c>
      <c r="G15" s="16" t="str">
        <f aca="false">CONCATENATE("C",IF(Data!A4&lt;0,"-",""),TEXT(ABS(Data!A4),"0.0000"))</f>
        <v>C2.0000</v>
      </c>
    </row>
    <row r="16" customFormat="false" ht="15" hidden="false" customHeight="false" outlineLevel="0" collapsed="false">
      <c r="A16" s="16" t="s">
        <v>62</v>
      </c>
      <c r="B16" s="16" t="s">
        <v>56</v>
      </c>
      <c r="C16" s="16" t="str">
        <f aca="false">CONCATENATE("X",IF(Data!D5&lt;0,"-",""),TEXT(ABS(Data!D5),"0.0000"))</f>
        <v>X1.1634</v>
      </c>
      <c r="D16" s="16" t="str">
        <f aca="false">CONCATENATE("Y",IF(Data!E5&lt;0,"-",""),TEXT(ABS(Data!E5),"0.0000"))</f>
        <v>Y0.0610</v>
      </c>
      <c r="E16" s="16" t="str">
        <f aca="false">CONCATENATE("Z",IF(Data!F5&lt;0,"-",""),TEXT(ABS(Data!F5),"0.0000"))</f>
        <v>Z-0.0004</v>
      </c>
      <c r="F16" s="16" t="str">
        <f aca="false">CONCATENATE("B",IF(Data!G5&lt;0,"-",""),TEXT(ABS(Data!G5),"0.0000"))</f>
        <v>B0.6722</v>
      </c>
      <c r="G16" s="16" t="str">
        <f aca="false">CONCATENATE("C",IF(Data!A5&lt;0,"-",""),TEXT(ABS(Data!A5),"0.0000"))</f>
        <v>C3.0000</v>
      </c>
    </row>
    <row r="17" customFormat="false" ht="15" hidden="false" customHeight="false" outlineLevel="0" collapsed="false">
      <c r="A17" s="16" t="s">
        <v>63</v>
      </c>
      <c r="B17" s="16" t="s">
        <v>56</v>
      </c>
      <c r="C17" s="16" t="str">
        <f aca="false">CONCATENATE("X",IF(Data!D6&lt;0,"-",""),TEXT(ABS(Data!D6),"0.0000"))</f>
        <v>X1.1622</v>
      </c>
      <c r="D17" s="16" t="str">
        <f aca="false">CONCATENATE("Y",IF(Data!E6&lt;0,"-",""),TEXT(ABS(Data!E6),"0.0000"))</f>
        <v>Y0.0813</v>
      </c>
      <c r="E17" s="16" t="str">
        <f aca="false">CONCATENATE("Z",IF(Data!F6&lt;0,"-",""),TEXT(ABS(Data!F6),"0.0000"))</f>
        <v>Z-0.0006</v>
      </c>
      <c r="F17" s="16" t="str">
        <f aca="false">CONCATENATE("B",IF(Data!G6&lt;0,"-",""),TEXT(ABS(Data!G6),"0.0000"))</f>
        <v>B0.8960</v>
      </c>
      <c r="G17" s="16" t="str">
        <f aca="false">CONCATENATE("C",IF(Data!A6&lt;0,"-",""),TEXT(ABS(Data!A6),"0.0000"))</f>
        <v>C4.0000</v>
      </c>
    </row>
    <row r="18" customFormat="false" ht="15" hidden="false" customHeight="false" outlineLevel="0" collapsed="false">
      <c r="A18" s="16" t="s">
        <v>64</v>
      </c>
      <c r="B18" s="16" t="s">
        <v>56</v>
      </c>
      <c r="C18" s="16" t="str">
        <f aca="false">CONCATENATE("X",IF(Data!D7&lt;0,"-",""),TEXT(ABS(Data!D7),"0.0000"))</f>
        <v>X1.1606</v>
      </c>
      <c r="D18" s="16" t="str">
        <f aca="false">CONCATENATE("Y",IF(Data!E7&lt;0,"-",""),TEXT(ABS(Data!E7),"0.0000"))</f>
        <v>Y0.1015</v>
      </c>
      <c r="E18" s="16" t="str">
        <f aca="false">CONCATENATE("Z",IF(Data!F7&lt;0,"-",""),TEXT(ABS(Data!F7),"0.0000"))</f>
        <v>Z-0.0010</v>
      </c>
      <c r="F18" s="16" t="str">
        <f aca="false">CONCATENATE("B",IF(Data!G7&lt;0,"-",""),TEXT(ABS(Data!G7),"0.0000"))</f>
        <v>B1.1195</v>
      </c>
      <c r="G18" s="16" t="str">
        <f aca="false">CONCATENATE("C",IF(Data!A7&lt;0,"-",""),TEXT(ABS(Data!A7),"0.0000"))</f>
        <v>C5.0000</v>
      </c>
    </row>
    <row r="19" customFormat="false" ht="15" hidden="false" customHeight="false" outlineLevel="0" collapsed="false">
      <c r="A19" s="16" t="s">
        <v>65</v>
      </c>
      <c r="B19" s="16" t="s">
        <v>56</v>
      </c>
      <c r="C19" s="16" t="str">
        <f aca="false">CONCATENATE("X",IF(Data!D8&lt;0,"-",""),TEXT(ABS(Data!D8),"0.0000"))</f>
        <v>X1.1586</v>
      </c>
      <c r="D19" s="16" t="str">
        <f aca="false">CONCATENATE("Y",IF(Data!E8&lt;0,"-",""),TEXT(ABS(Data!E8),"0.0000"))</f>
        <v>Y0.1218</v>
      </c>
      <c r="E19" s="16" t="str">
        <f aca="false">CONCATENATE("Z",IF(Data!F8&lt;0,"-",""),TEXT(ABS(Data!F8),"0.0000"))</f>
        <v>Z-0.0014</v>
      </c>
      <c r="F19" s="16" t="str">
        <f aca="false">CONCATENATE("B",IF(Data!G8&lt;0,"-",""),TEXT(ABS(Data!G8),"0.0000"))</f>
        <v>B1.3427</v>
      </c>
      <c r="G19" s="16" t="str">
        <f aca="false">CONCATENATE("C",IF(Data!A8&lt;0,"-",""),TEXT(ABS(Data!A8),"0.0000"))</f>
        <v>C6.0000</v>
      </c>
    </row>
    <row r="20" customFormat="false" ht="15" hidden="false" customHeight="false" outlineLevel="0" collapsed="false">
      <c r="A20" s="16" t="s">
        <v>66</v>
      </c>
      <c r="B20" s="16" t="s">
        <v>56</v>
      </c>
      <c r="C20" s="16" t="str">
        <f aca="false">CONCATENATE("X",IF(Data!D9&lt;0,"-",""),TEXT(ABS(Data!D9),"0.0000"))</f>
        <v>X1.1563</v>
      </c>
      <c r="D20" s="16" t="str">
        <f aca="false">CONCATENATE("Y",IF(Data!E9&lt;0,"-",""),TEXT(ABS(Data!E9),"0.0000"))</f>
        <v>Y0.1420</v>
      </c>
      <c r="E20" s="16" t="str">
        <f aca="false">CONCATENATE("Z",IF(Data!F9&lt;0,"-",""),TEXT(ABS(Data!F9),"0.0000"))</f>
        <v>Z-0.0019</v>
      </c>
      <c r="F20" s="16" t="str">
        <f aca="false">CONCATENATE("B",IF(Data!G9&lt;0,"-",""),TEXT(ABS(Data!G9),"0.0000"))</f>
        <v>B1.5655</v>
      </c>
      <c r="G20" s="16" t="str">
        <f aca="false">CONCATENATE("C",IF(Data!A9&lt;0,"-",""),TEXT(ABS(Data!A9),"0.0000"))</f>
        <v>C7.0000</v>
      </c>
    </row>
    <row r="21" customFormat="false" ht="15" hidden="false" customHeight="false" outlineLevel="0" collapsed="false">
      <c r="A21" s="16" t="s">
        <v>67</v>
      </c>
      <c r="B21" s="16" t="s">
        <v>56</v>
      </c>
      <c r="C21" s="16" t="str">
        <f aca="false">CONCATENATE("X",IF(Data!D10&lt;0,"-",""),TEXT(ABS(Data!D10),"0.0000"))</f>
        <v>X1.1537</v>
      </c>
      <c r="D21" s="16" t="str">
        <f aca="false">CONCATENATE("Y",IF(Data!E10&lt;0,"-",""),TEXT(ABS(Data!E10),"0.0000"))</f>
        <v>Y0.1621</v>
      </c>
      <c r="E21" s="16" t="str">
        <f aca="false">CONCATENATE("Z",IF(Data!F10&lt;0,"-",""),TEXT(ABS(Data!F10),"0.0000"))</f>
        <v>Z-0.0025</v>
      </c>
      <c r="F21" s="16" t="str">
        <f aca="false">CONCATENATE("B",IF(Data!G10&lt;0,"-",""),TEXT(ABS(Data!G10),"0.0000"))</f>
        <v>B1.7878</v>
      </c>
      <c r="G21" s="16" t="str">
        <f aca="false">CONCATENATE("C",IF(Data!A10&lt;0,"-",""),TEXT(ABS(Data!A10),"0.0000"))</f>
        <v>C8.0000</v>
      </c>
    </row>
    <row r="22" customFormat="false" ht="15" hidden="false" customHeight="false" outlineLevel="0" collapsed="false">
      <c r="A22" s="16" t="s">
        <v>68</v>
      </c>
      <c r="B22" s="16" t="s">
        <v>56</v>
      </c>
      <c r="C22" s="16" t="str">
        <f aca="false">CONCATENATE("X",IF(Data!D11&lt;0,"-",""),TEXT(ABS(Data!D11),"0.0000"))</f>
        <v>X1.1507</v>
      </c>
      <c r="D22" s="16" t="str">
        <f aca="false">CONCATENATE("Y",IF(Data!E11&lt;0,"-",""),TEXT(ABS(Data!E11),"0.0000"))</f>
        <v>Y0.1822</v>
      </c>
      <c r="E22" s="16" t="str">
        <f aca="false">CONCATENATE("Z",IF(Data!F11&lt;0,"-",""),TEXT(ABS(Data!F11),"0.0000"))</f>
        <v>Z-0.0032</v>
      </c>
      <c r="F22" s="16" t="str">
        <f aca="false">CONCATENATE("B",IF(Data!G11&lt;0,"-",""),TEXT(ABS(Data!G11),"0.0000"))</f>
        <v>B2.0096</v>
      </c>
      <c r="G22" s="16" t="str">
        <f aca="false">CONCATENATE("C",IF(Data!A11&lt;0,"-",""),TEXT(ABS(Data!A11),"0.0000"))</f>
        <v>C9.0000</v>
      </c>
    </row>
    <row r="23" customFormat="false" ht="15" hidden="false" customHeight="false" outlineLevel="0" collapsed="false">
      <c r="A23" s="16" t="s">
        <v>69</v>
      </c>
      <c r="B23" s="16" t="s">
        <v>56</v>
      </c>
      <c r="C23" s="16" t="str">
        <f aca="false">CONCATENATE("X",IF(Data!D12&lt;0,"-",""),TEXT(ABS(Data!D12),"0.0000"))</f>
        <v>X1.1473</v>
      </c>
      <c r="D23" s="16" t="str">
        <f aca="false">CONCATENATE("Y",IF(Data!E12&lt;0,"-",""),TEXT(ABS(Data!E12),"0.0000"))</f>
        <v>Y0.2023</v>
      </c>
      <c r="E23" s="16" t="str">
        <f aca="false">CONCATENATE("Z",IF(Data!F12&lt;0,"-",""),TEXT(ABS(Data!F12),"0.0000"))</f>
        <v>Z-0.0039</v>
      </c>
      <c r="F23" s="16" t="str">
        <f aca="false">CONCATENATE("B",IF(Data!G12&lt;0,"-",""),TEXT(ABS(Data!G12),"0.0000"))</f>
        <v>B2.2309</v>
      </c>
      <c r="G23" s="16" t="str">
        <f aca="false">CONCATENATE("C",IF(Data!A12&lt;0,"-",""),TEXT(ABS(Data!A12),"0.0000"))</f>
        <v>C10.0000</v>
      </c>
    </row>
    <row r="24" customFormat="false" ht="15" hidden="false" customHeight="false" outlineLevel="0" collapsed="false">
      <c r="A24" s="16" t="s">
        <v>70</v>
      </c>
      <c r="B24" s="16" t="s">
        <v>56</v>
      </c>
      <c r="C24" s="16" t="str">
        <f aca="false">CONCATENATE("X",IF(Data!D13&lt;0,"-",""),TEXT(ABS(Data!D13),"0.0000"))</f>
        <v>X1.1436</v>
      </c>
      <c r="D24" s="16" t="str">
        <f aca="false">CONCATENATE("Y",IF(Data!E13&lt;0,"-",""),TEXT(ABS(Data!E13),"0.0000"))</f>
        <v>Y0.2223</v>
      </c>
      <c r="E24" s="16" t="str">
        <f aca="false">CONCATENATE("Z",IF(Data!F13&lt;0,"-",""),TEXT(ABS(Data!F13),"0.0000"))</f>
        <v>Z-0.0048</v>
      </c>
      <c r="F24" s="16" t="str">
        <f aca="false">CONCATENATE("B",IF(Data!G13&lt;0,"-",""),TEXT(ABS(Data!G13),"0.0000"))</f>
        <v>B2.4515</v>
      </c>
      <c r="G24" s="16" t="str">
        <f aca="false">CONCATENATE("C",IF(Data!A13&lt;0,"-",""),TEXT(ABS(Data!A13),"0.0000"))</f>
        <v>C11.0000</v>
      </c>
    </row>
    <row r="25" customFormat="false" ht="15" hidden="false" customHeight="false" outlineLevel="0" collapsed="false">
      <c r="A25" s="16" t="s">
        <v>71</v>
      </c>
      <c r="B25" s="16" t="s">
        <v>56</v>
      </c>
      <c r="C25" s="16" t="str">
        <f aca="false">CONCATENATE("X",IF(Data!D14&lt;0,"-",""),TEXT(ABS(Data!D14),"0.0000"))</f>
        <v>X1.1395</v>
      </c>
      <c r="D25" s="16" t="str">
        <f aca="false">CONCATENATE("Y",IF(Data!E14&lt;0,"-",""),TEXT(ABS(Data!E14),"0.0000"))</f>
        <v>Y0.2422</v>
      </c>
      <c r="E25" s="16" t="str">
        <f aca="false">CONCATENATE("Z",IF(Data!F14&lt;0,"-",""),TEXT(ABS(Data!F14),"0.0000"))</f>
        <v>Z-0.0056</v>
      </c>
      <c r="F25" s="16" t="str">
        <f aca="false">CONCATENATE("B",IF(Data!G14&lt;0,"-",""),TEXT(ABS(Data!G14),"0.0000"))</f>
        <v>B2.6714</v>
      </c>
      <c r="G25" s="16" t="str">
        <f aca="false">CONCATENATE("C",IF(Data!A14&lt;0,"-",""),TEXT(ABS(Data!A14),"0.0000"))</f>
        <v>C12.0000</v>
      </c>
    </row>
    <row r="26" customFormat="false" ht="15" hidden="false" customHeight="false" outlineLevel="0" collapsed="false">
      <c r="A26" s="16" t="s">
        <v>72</v>
      </c>
      <c r="B26" s="16" t="s">
        <v>56</v>
      </c>
      <c r="C26" s="16" t="str">
        <f aca="false">CONCATENATE("X",IF(Data!D15&lt;0,"-",""),TEXT(ABS(Data!D15),"0.0000"))</f>
        <v>X1.1351</v>
      </c>
      <c r="D26" s="16" t="str">
        <f aca="false">CONCATENATE("Y",IF(Data!E15&lt;0,"-",""),TEXT(ABS(Data!E15),"0.0000"))</f>
        <v>Y0.2621</v>
      </c>
      <c r="E26" s="16" t="str">
        <f aca="false">CONCATENATE("Z",IF(Data!F15&lt;0,"-",""),TEXT(ABS(Data!F15),"0.0000"))</f>
        <v>Z-0.0066</v>
      </c>
      <c r="F26" s="16" t="str">
        <f aca="false">CONCATENATE("B",IF(Data!G15&lt;0,"-",""),TEXT(ABS(Data!G15),"0.0000"))</f>
        <v>B2.8905</v>
      </c>
      <c r="G26" s="16" t="str">
        <f aca="false">CONCATENATE("C",IF(Data!A15&lt;0,"-",""),TEXT(ABS(Data!A15),"0.0000"))</f>
        <v>C13.0000</v>
      </c>
    </row>
    <row r="27" customFormat="false" ht="15" hidden="false" customHeight="false" outlineLevel="0" collapsed="false">
      <c r="A27" s="16" t="s">
        <v>73</v>
      </c>
      <c r="B27" s="16" t="s">
        <v>56</v>
      </c>
      <c r="C27" s="16" t="str">
        <f aca="false">CONCATENATE("X",IF(Data!D16&lt;0,"-",""),TEXT(ABS(Data!D16),"0.0000"))</f>
        <v>X1.1304</v>
      </c>
      <c r="D27" s="16" t="str">
        <f aca="false">CONCATENATE("Y",IF(Data!E16&lt;0,"-",""),TEXT(ABS(Data!E16),"0.0000"))</f>
        <v>Y0.2818</v>
      </c>
      <c r="E27" s="16" t="str">
        <f aca="false">CONCATENATE("Z",IF(Data!F16&lt;0,"-",""),TEXT(ABS(Data!F16),"0.0000"))</f>
        <v>Z-0.0076</v>
      </c>
      <c r="F27" s="16" t="str">
        <f aca="false">CONCATENATE("B",IF(Data!G16&lt;0,"-",""),TEXT(ABS(Data!G16),"0.0000"))</f>
        <v>B3.1087</v>
      </c>
      <c r="G27" s="16" t="str">
        <f aca="false">CONCATENATE("C",IF(Data!A16&lt;0,"-",""),TEXT(ABS(Data!A16),"0.0000"))</f>
        <v>C14.0000</v>
      </c>
    </row>
    <row r="28" customFormat="false" ht="15" hidden="false" customHeight="false" outlineLevel="0" collapsed="false">
      <c r="A28" s="16" t="s">
        <v>74</v>
      </c>
      <c r="B28" s="16" t="s">
        <v>56</v>
      </c>
      <c r="C28" s="16" t="str">
        <f aca="false">CONCATENATE("X",IF(Data!D17&lt;0,"-",""),TEXT(ABS(Data!D17),"0.0000"))</f>
        <v>X1.1253</v>
      </c>
      <c r="D28" s="16" t="str">
        <f aca="false">CONCATENATE("Y",IF(Data!E17&lt;0,"-",""),TEXT(ABS(Data!E17),"0.0000"))</f>
        <v>Y0.3015</v>
      </c>
      <c r="E28" s="16" t="str">
        <f aca="false">CONCATENATE("Z",IF(Data!F17&lt;0,"-",""),TEXT(ABS(Data!F17),"0.0000"))</f>
        <v>Z-0.0088</v>
      </c>
      <c r="F28" s="16" t="str">
        <f aca="false">CONCATENATE("B",IF(Data!G17&lt;0,"-",""),TEXT(ABS(Data!G17),"0.0000"))</f>
        <v>B3.3261</v>
      </c>
      <c r="G28" s="16" t="str">
        <f aca="false">CONCATENATE("C",IF(Data!A17&lt;0,"-",""),TEXT(ABS(Data!A17),"0.0000"))</f>
        <v>C15.0000</v>
      </c>
    </row>
    <row r="29" customFormat="false" ht="15" hidden="false" customHeight="false" outlineLevel="0" collapsed="false">
      <c r="A29" s="16" t="s">
        <v>75</v>
      </c>
      <c r="B29" s="16" t="s">
        <v>56</v>
      </c>
      <c r="C29" s="16" t="str">
        <f aca="false">CONCATENATE("X",IF(Data!D18&lt;0,"-",""),TEXT(ABS(Data!D18),"0.0000"))</f>
        <v>X1.1199</v>
      </c>
      <c r="D29" s="16" t="str">
        <f aca="false">CONCATENATE("Y",IF(Data!E18&lt;0,"-",""),TEXT(ABS(Data!E18),"0.0000"))</f>
        <v>Y0.3211</v>
      </c>
      <c r="E29" s="16" t="str">
        <f aca="false">CONCATENATE("Z",IF(Data!F18&lt;0,"-",""),TEXT(ABS(Data!F18),"0.0000"))</f>
        <v>Z-0.0099</v>
      </c>
      <c r="F29" s="16" t="str">
        <f aca="false">CONCATENATE("B",IF(Data!G18&lt;0,"-",""),TEXT(ABS(Data!G18),"0.0000"))</f>
        <v>B3.5425</v>
      </c>
      <c r="G29" s="16" t="str">
        <f aca="false">CONCATENATE("C",IF(Data!A18&lt;0,"-",""),TEXT(ABS(Data!A18),"0.0000"))</f>
        <v>C16.0000</v>
      </c>
    </row>
    <row r="30" customFormat="false" ht="15" hidden="false" customHeight="false" outlineLevel="0" collapsed="false">
      <c r="A30" s="16" t="s">
        <v>76</v>
      </c>
      <c r="B30" s="16" t="s">
        <v>56</v>
      </c>
      <c r="C30" s="16" t="str">
        <f aca="false">CONCATENATE("X",IF(Data!D19&lt;0,"-",""),TEXT(ABS(Data!D19),"0.0000"))</f>
        <v>X1.1141</v>
      </c>
      <c r="D30" s="16" t="str">
        <f aca="false">CONCATENATE("Y",IF(Data!E19&lt;0,"-",""),TEXT(ABS(Data!E19),"0.0000"))</f>
        <v>Y0.3406</v>
      </c>
      <c r="E30" s="16" t="str">
        <f aca="false">CONCATENATE("Z",IF(Data!F19&lt;0,"-",""),TEXT(ABS(Data!F19),"0.0000"))</f>
        <v>Z-0.0112</v>
      </c>
      <c r="F30" s="16" t="str">
        <f aca="false">CONCATENATE("B",IF(Data!G19&lt;0,"-",""),TEXT(ABS(Data!G19),"0.0000"))</f>
        <v>B3.7579</v>
      </c>
      <c r="G30" s="16" t="str">
        <f aca="false">CONCATENATE("C",IF(Data!A19&lt;0,"-",""),TEXT(ABS(Data!A19),"0.0000"))</f>
        <v>C17.0000</v>
      </c>
    </row>
    <row r="31" customFormat="false" ht="15" hidden="false" customHeight="false" outlineLevel="0" collapsed="false">
      <c r="A31" s="16" t="s">
        <v>77</v>
      </c>
      <c r="B31" s="16" t="s">
        <v>56</v>
      </c>
      <c r="C31" s="16" t="str">
        <f aca="false">CONCATENATE("X",IF(Data!D20&lt;0,"-",""),TEXT(ABS(Data!D20),"0.0000"))</f>
        <v>X1.1080</v>
      </c>
      <c r="D31" s="16" t="str">
        <f aca="false">CONCATENATE("Y",IF(Data!E20&lt;0,"-",""),TEXT(ABS(Data!E20),"0.0000"))</f>
        <v>Y0.3600</v>
      </c>
      <c r="E31" s="16" t="str">
        <f aca="false">CONCATENATE("Z",IF(Data!F20&lt;0,"-",""),TEXT(ABS(Data!F20),"0.0000"))</f>
        <v>Z-0.0125</v>
      </c>
      <c r="F31" s="16" t="str">
        <f aca="false">CONCATENATE("B",IF(Data!G20&lt;0,"-",""),TEXT(ABS(Data!G20),"0.0000"))</f>
        <v>B3.9722</v>
      </c>
      <c r="G31" s="16" t="str">
        <f aca="false">CONCATENATE("C",IF(Data!A20&lt;0,"-",""),TEXT(ABS(Data!A20),"0.0000"))</f>
        <v>C18.0000</v>
      </c>
    </row>
    <row r="32" customFormat="false" ht="15" hidden="false" customHeight="false" outlineLevel="0" collapsed="false">
      <c r="A32" s="16" t="s">
        <v>78</v>
      </c>
      <c r="B32" s="16" t="s">
        <v>56</v>
      </c>
      <c r="C32" s="16" t="str">
        <f aca="false">CONCATENATE("X",IF(Data!D21&lt;0,"-",""),TEXT(ABS(Data!D21),"0.0000"))</f>
        <v>X1.1015</v>
      </c>
      <c r="D32" s="16" t="str">
        <f aca="false">CONCATENATE("Y",IF(Data!E21&lt;0,"-",""),TEXT(ABS(Data!E21),"0.0000"))</f>
        <v>Y0.3793</v>
      </c>
      <c r="E32" s="16" t="str">
        <f aca="false">CONCATENATE("Z",IF(Data!F21&lt;0,"-",""),TEXT(ABS(Data!F21),"0.0000"))</f>
        <v>Z-0.0139</v>
      </c>
      <c r="F32" s="16" t="str">
        <f aca="false">CONCATENATE("B",IF(Data!G21&lt;0,"-",""),TEXT(ABS(Data!G21),"0.0000"))</f>
        <v>B4.1853</v>
      </c>
      <c r="G32" s="16" t="str">
        <f aca="false">CONCATENATE("C",IF(Data!A21&lt;0,"-",""),TEXT(ABS(Data!A21),"0.0000"))</f>
        <v>C19.0000</v>
      </c>
    </row>
    <row r="33" customFormat="false" ht="15" hidden="false" customHeight="false" outlineLevel="0" collapsed="false">
      <c r="A33" s="16" t="s">
        <v>79</v>
      </c>
      <c r="B33" s="16" t="s">
        <v>56</v>
      </c>
      <c r="C33" s="16" t="str">
        <f aca="false">CONCATENATE("X",IF(Data!D22&lt;0,"-",""),TEXT(ABS(Data!D22),"0.0000"))</f>
        <v>X1.0947</v>
      </c>
      <c r="D33" s="16" t="str">
        <f aca="false">CONCATENATE("Y",IF(Data!E22&lt;0,"-",""),TEXT(ABS(Data!E22),"0.0000"))</f>
        <v>Y0.3985</v>
      </c>
      <c r="E33" s="16" t="str">
        <f aca="false">CONCATENATE("Z",IF(Data!F22&lt;0,"-",""),TEXT(ABS(Data!F22),"0.0000"))</f>
        <v>Z-0.0153</v>
      </c>
      <c r="F33" s="16" t="str">
        <f aca="false">CONCATENATE("B",IF(Data!G22&lt;0,"-",""),TEXT(ABS(Data!G22),"0.0000"))</f>
        <v>B4.3972</v>
      </c>
      <c r="G33" s="16" t="str">
        <f aca="false">CONCATENATE("C",IF(Data!A22&lt;0,"-",""),TEXT(ABS(Data!A22),"0.0000"))</f>
        <v>C20.0000</v>
      </c>
    </row>
    <row r="34" customFormat="false" ht="15" hidden="false" customHeight="false" outlineLevel="0" collapsed="false">
      <c r="A34" s="16" t="s">
        <v>80</v>
      </c>
      <c r="B34" s="16" t="s">
        <v>56</v>
      </c>
      <c r="C34" s="16" t="str">
        <f aca="false">CONCATENATE("X",IF(Data!D23&lt;0,"-",""),TEXT(ABS(Data!D23),"0.0000"))</f>
        <v>X1.0876</v>
      </c>
      <c r="D34" s="16" t="str">
        <f aca="false">CONCATENATE("Y",IF(Data!E23&lt;0,"-",""),TEXT(ABS(Data!E23),"0.0000"))</f>
        <v>Y0.4175</v>
      </c>
      <c r="E34" s="16" t="str">
        <f aca="false">CONCATENATE("Z",IF(Data!F23&lt;0,"-",""),TEXT(ABS(Data!F23),"0.0000"))</f>
        <v>Z-0.0168</v>
      </c>
      <c r="F34" s="16" t="str">
        <f aca="false">CONCATENATE("B",IF(Data!G23&lt;0,"-",""),TEXT(ABS(Data!G23),"0.0000"))</f>
        <v>B4.6078</v>
      </c>
      <c r="G34" s="16" t="str">
        <f aca="false">CONCATENATE("C",IF(Data!A23&lt;0,"-",""),TEXT(ABS(Data!A23),"0.0000"))</f>
        <v>C21.0000</v>
      </c>
    </row>
    <row r="35" customFormat="false" ht="15" hidden="false" customHeight="false" outlineLevel="0" collapsed="false">
      <c r="A35" s="16" t="s">
        <v>81</v>
      </c>
      <c r="B35" s="16" t="s">
        <v>56</v>
      </c>
      <c r="C35" s="16" t="str">
        <f aca="false">CONCATENATE("X",IF(Data!D24&lt;0,"-",""),TEXT(ABS(Data!D24),"0.0000"))</f>
        <v>X1.0802</v>
      </c>
      <c r="D35" s="16" t="str">
        <f aca="false">CONCATENATE("Y",IF(Data!E24&lt;0,"-",""),TEXT(ABS(Data!E24),"0.0000"))</f>
        <v>Y0.4364</v>
      </c>
      <c r="E35" s="16" t="str">
        <f aca="false">CONCATENATE("Z",IF(Data!F24&lt;0,"-",""),TEXT(ABS(Data!F24),"0.0000"))</f>
        <v>Z-0.0184</v>
      </c>
      <c r="F35" s="16" t="str">
        <f aca="false">CONCATENATE("B",IF(Data!G24&lt;0,"-",""),TEXT(ABS(Data!G24),"0.0000"))</f>
        <v>B4.8171</v>
      </c>
      <c r="G35" s="16" t="str">
        <f aca="false">CONCATENATE("C",IF(Data!A24&lt;0,"-",""),TEXT(ABS(Data!A24),"0.0000"))</f>
        <v>C22.0000</v>
      </c>
    </row>
    <row r="36" customFormat="false" ht="15" hidden="false" customHeight="false" outlineLevel="0" collapsed="false">
      <c r="A36" s="16" t="s">
        <v>82</v>
      </c>
      <c r="B36" s="16" t="s">
        <v>56</v>
      </c>
      <c r="C36" s="16" t="str">
        <f aca="false">CONCATENATE("X",IF(Data!D25&lt;0,"-",""),TEXT(ABS(Data!D25),"0.0000"))</f>
        <v>X1.0724</v>
      </c>
      <c r="D36" s="16" t="str">
        <f aca="false">CONCATENATE("Y",IF(Data!E25&lt;0,"-",""),TEXT(ABS(Data!E25),"0.0000"))</f>
        <v>Y0.4552</v>
      </c>
      <c r="E36" s="16" t="str">
        <f aca="false">CONCATENATE("Z",IF(Data!F25&lt;0,"-",""),TEXT(ABS(Data!F25),"0.0000"))</f>
        <v>Z-0.0200</v>
      </c>
      <c r="F36" s="16" t="str">
        <f aca="false">CONCATENATE("B",IF(Data!G25&lt;0,"-",""),TEXT(ABS(Data!G25),"0.0000"))</f>
        <v>B5.0249</v>
      </c>
      <c r="G36" s="16" t="str">
        <f aca="false">CONCATENATE("C",IF(Data!A25&lt;0,"-",""),TEXT(ABS(Data!A25),"0.0000"))</f>
        <v>C23.0000</v>
      </c>
    </row>
    <row r="37" customFormat="false" ht="15" hidden="false" customHeight="false" outlineLevel="0" collapsed="false">
      <c r="A37" s="16" t="s">
        <v>83</v>
      </c>
      <c r="B37" s="16" t="s">
        <v>56</v>
      </c>
      <c r="C37" s="16" t="str">
        <f aca="false">CONCATENATE("X",IF(Data!D26&lt;0,"-",""),TEXT(ABS(Data!D26),"0.0000"))</f>
        <v>X1.0643</v>
      </c>
      <c r="D37" s="16" t="str">
        <f aca="false">CONCATENATE("Y",IF(Data!E26&lt;0,"-",""),TEXT(ABS(Data!E26),"0.0000"))</f>
        <v>Y0.4738</v>
      </c>
      <c r="E37" s="16" t="str">
        <f aca="false">CONCATENATE("Z",IF(Data!F26&lt;0,"-",""),TEXT(ABS(Data!F26),"0.0000"))</f>
        <v>Z-0.0216</v>
      </c>
      <c r="F37" s="16" t="str">
        <f aca="false">CONCATENATE("B",IF(Data!G26&lt;0,"-",""),TEXT(ABS(Data!G26),"0.0000"))</f>
        <v>B5.2313</v>
      </c>
      <c r="G37" s="16" t="str">
        <f aca="false">CONCATENATE("C",IF(Data!A26&lt;0,"-",""),TEXT(ABS(Data!A26),"0.0000"))</f>
        <v>C24.0000</v>
      </c>
    </row>
    <row r="38" customFormat="false" ht="15" hidden="false" customHeight="false" outlineLevel="0" collapsed="false">
      <c r="A38" s="16" t="s">
        <v>84</v>
      </c>
      <c r="B38" s="16" t="s">
        <v>56</v>
      </c>
      <c r="C38" s="16" t="str">
        <f aca="false">CONCATENATE("X",IF(Data!D27&lt;0,"-",""),TEXT(ABS(Data!D27),"0.0000"))</f>
        <v>X1.0558</v>
      </c>
      <c r="D38" s="16" t="str">
        <f aca="false">CONCATENATE("Y",IF(Data!E27&lt;0,"-",""),TEXT(ABS(Data!E27),"0.0000"))</f>
        <v>Y0.4924</v>
      </c>
      <c r="E38" s="16" t="str">
        <f aca="false">CONCATENATE("Z",IF(Data!F27&lt;0,"-",""),TEXT(ABS(Data!F27),"0.0000"))</f>
        <v>Z-0.0234</v>
      </c>
      <c r="F38" s="16" t="str">
        <f aca="false">CONCATENATE("B",IF(Data!G27&lt;0,"-",""),TEXT(ABS(Data!G27),"0.0000"))</f>
        <v>B5.4362</v>
      </c>
      <c r="G38" s="16" t="str">
        <f aca="false">CONCATENATE("C",IF(Data!A27&lt;0,"-",""),TEXT(ABS(Data!A27),"0.0000"))</f>
        <v>C25.0000</v>
      </c>
    </row>
    <row r="39" customFormat="false" ht="15" hidden="false" customHeight="false" outlineLevel="0" collapsed="false">
      <c r="A39" s="16" t="s">
        <v>85</v>
      </c>
      <c r="B39" s="16" t="s">
        <v>56</v>
      </c>
      <c r="C39" s="16" t="str">
        <f aca="false">CONCATENATE("X",IF(Data!D28&lt;0,"-",""),TEXT(ABS(Data!D28),"0.0000"))</f>
        <v>X1.0471</v>
      </c>
      <c r="D39" s="16" t="str">
        <f aca="false">CONCATENATE("Y",IF(Data!E28&lt;0,"-",""),TEXT(ABS(Data!E28),"0.0000"))</f>
        <v>Y0.5107</v>
      </c>
      <c r="E39" s="16" t="str">
        <f aca="false">CONCATENATE("Z",IF(Data!F28&lt;0,"-",""),TEXT(ABS(Data!F28),"0.0000"))</f>
        <v>Z-0.0252</v>
      </c>
      <c r="F39" s="16" t="str">
        <f aca="false">CONCATENATE("B",IF(Data!G28&lt;0,"-",""),TEXT(ABS(Data!G28),"0.0000"))</f>
        <v>B5.6395</v>
      </c>
      <c r="G39" s="16" t="str">
        <f aca="false">CONCATENATE("C",IF(Data!A28&lt;0,"-",""),TEXT(ABS(Data!A28),"0.0000"))</f>
        <v>C26.0000</v>
      </c>
    </row>
    <row r="40" customFormat="false" ht="15" hidden="false" customHeight="false" outlineLevel="0" collapsed="false">
      <c r="A40" s="16" t="s">
        <v>86</v>
      </c>
      <c r="B40" s="16" t="s">
        <v>56</v>
      </c>
      <c r="C40" s="16" t="str">
        <f aca="false">CONCATENATE("X",IF(Data!D29&lt;0,"-",""),TEXT(ABS(Data!D29),"0.0000"))</f>
        <v>X1.0380</v>
      </c>
      <c r="D40" s="16" t="str">
        <f aca="false">CONCATENATE("Y",IF(Data!E29&lt;0,"-",""),TEXT(ABS(Data!E29),"0.0000"))</f>
        <v>Y0.5289</v>
      </c>
      <c r="E40" s="16" t="str">
        <f aca="false">CONCATENATE("Z",IF(Data!F29&lt;0,"-",""),TEXT(ABS(Data!F29),"0.0000"))</f>
        <v>Z-0.0270</v>
      </c>
      <c r="F40" s="16" t="str">
        <f aca="false">CONCATENATE("B",IF(Data!G29&lt;0,"-",""),TEXT(ABS(Data!G29),"0.0000"))</f>
        <v>B5.8411</v>
      </c>
      <c r="G40" s="16" t="str">
        <f aca="false">CONCATENATE("C",IF(Data!A29&lt;0,"-",""),TEXT(ABS(Data!A29),"0.0000"))</f>
        <v>C27.0000</v>
      </c>
    </row>
    <row r="41" customFormat="false" ht="15" hidden="false" customHeight="false" outlineLevel="0" collapsed="false">
      <c r="A41" s="16" t="s">
        <v>87</v>
      </c>
      <c r="B41" s="16" t="s">
        <v>56</v>
      </c>
      <c r="C41" s="16" t="str">
        <f aca="false">CONCATENATE("X",IF(Data!D30&lt;0,"-",""),TEXT(ABS(Data!D30),"0.0000"))</f>
        <v>X1.0286</v>
      </c>
      <c r="D41" s="16" t="str">
        <f aca="false">CONCATENATE("Y",IF(Data!E30&lt;0,"-",""),TEXT(ABS(Data!E30),"0.0000"))</f>
        <v>Y0.5469</v>
      </c>
      <c r="E41" s="16" t="str">
        <f aca="false">CONCATENATE("Z",IF(Data!F30&lt;0,"-",""),TEXT(ABS(Data!F30),"0.0000"))</f>
        <v>Z-0.0289</v>
      </c>
      <c r="F41" s="16" t="str">
        <f aca="false">CONCATENATE("B",IF(Data!G30&lt;0,"-",""),TEXT(ABS(Data!G30),"0.0000"))</f>
        <v>B6.0410</v>
      </c>
      <c r="G41" s="16" t="str">
        <f aca="false">CONCATENATE("C",IF(Data!A30&lt;0,"-",""),TEXT(ABS(Data!A30),"0.0000"))</f>
        <v>C28.0000</v>
      </c>
    </row>
    <row r="42" customFormat="false" ht="15" hidden="false" customHeight="false" outlineLevel="0" collapsed="false">
      <c r="A42" s="16" t="s">
        <v>88</v>
      </c>
      <c r="B42" s="16" t="s">
        <v>56</v>
      </c>
      <c r="C42" s="16" t="str">
        <f aca="false">CONCATENATE("X",IF(Data!D31&lt;0,"-",""),TEXT(ABS(Data!D31),"0.0000"))</f>
        <v>X1.0189</v>
      </c>
      <c r="D42" s="16" t="str">
        <f aca="false">CONCATENATE("Y",IF(Data!E31&lt;0,"-",""),TEXT(ABS(Data!E31),"0.0000"))</f>
        <v>Y0.5648</v>
      </c>
      <c r="E42" s="16" t="str">
        <f aca="false">CONCATENATE("Z",IF(Data!F31&lt;0,"-",""),TEXT(ABS(Data!F31),"0.0000"))</f>
        <v>Z-0.0308</v>
      </c>
      <c r="F42" s="16" t="str">
        <f aca="false">CONCATENATE("B",IF(Data!G31&lt;0,"-",""),TEXT(ABS(Data!G31),"0.0000"))</f>
        <v>B6.2392</v>
      </c>
      <c r="G42" s="16" t="str">
        <f aca="false">CONCATENATE("C",IF(Data!A31&lt;0,"-",""),TEXT(ABS(Data!A31),"0.0000"))</f>
        <v>C29.0000</v>
      </c>
    </row>
    <row r="43" customFormat="false" ht="15" hidden="false" customHeight="false" outlineLevel="0" collapsed="false">
      <c r="A43" s="16" t="s">
        <v>89</v>
      </c>
      <c r="B43" s="16" t="s">
        <v>56</v>
      </c>
      <c r="C43" s="16" t="str">
        <f aca="false">CONCATENATE("X",IF(Data!D32&lt;0,"-",""),TEXT(ABS(Data!D32),"0.0000"))</f>
        <v>X1.0089</v>
      </c>
      <c r="D43" s="16" t="str">
        <f aca="false">CONCATENATE("Y",IF(Data!E32&lt;0,"-",""),TEXT(ABS(Data!E32),"0.0000"))</f>
        <v>Y0.5825</v>
      </c>
      <c r="E43" s="16" t="str">
        <f aca="false">CONCATENATE("Z",IF(Data!F32&lt;0,"-",""),TEXT(ABS(Data!F32),"0.0000"))</f>
        <v>Z-0.0327</v>
      </c>
      <c r="F43" s="16" t="str">
        <f aca="false">CONCATENATE("B",IF(Data!G32&lt;0,"-",""),TEXT(ABS(Data!G32),"0.0000"))</f>
        <v>B6.4355</v>
      </c>
      <c r="G43" s="16" t="str">
        <f aca="false">CONCATENATE("C",IF(Data!A32&lt;0,"-",""),TEXT(ABS(Data!A32),"0.0000"))</f>
        <v>C30.0000</v>
      </c>
    </row>
    <row r="44" customFormat="false" ht="15" hidden="false" customHeight="false" outlineLevel="0" collapsed="false">
      <c r="A44" s="16" t="s">
        <v>90</v>
      </c>
      <c r="B44" s="16" t="s">
        <v>56</v>
      </c>
      <c r="C44" s="16" t="str">
        <f aca="false">CONCATENATE("X",IF(Data!D33&lt;0,"-",""),TEXT(ABS(Data!D33),"0.0000"))</f>
        <v>X0.9986</v>
      </c>
      <c r="D44" s="16" t="str">
        <f aca="false">CONCATENATE("Y",IF(Data!E33&lt;0,"-",""),TEXT(ABS(Data!E33),"0.0000"))</f>
        <v>Y0.6000</v>
      </c>
      <c r="E44" s="16" t="str">
        <f aca="false">CONCATENATE("Z",IF(Data!F33&lt;0,"-",""),TEXT(ABS(Data!F33),"0.0000"))</f>
        <v>Z-0.0348</v>
      </c>
      <c r="F44" s="16" t="str">
        <f aca="false">CONCATENATE("B",IF(Data!G33&lt;0,"-",""),TEXT(ABS(Data!G33),"0.0000"))</f>
        <v>B6.6299</v>
      </c>
      <c r="G44" s="16" t="str">
        <f aca="false">CONCATENATE("C",IF(Data!A33&lt;0,"-",""),TEXT(ABS(Data!A33),"0.0000"))</f>
        <v>C31.0000</v>
      </c>
    </row>
    <row r="45" customFormat="false" ht="15" hidden="false" customHeight="false" outlineLevel="0" collapsed="false">
      <c r="A45" s="16" t="s">
        <v>91</v>
      </c>
      <c r="B45" s="16" t="s">
        <v>56</v>
      </c>
      <c r="C45" s="16" t="str">
        <f aca="false">CONCATENATE("X",IF(Data!D34&lt;0,"-",""),TEXT(ABS(Data!D34),"0.0000"))</f>
        <v>X0.9880</v>
      </c>
      <c r="D45" s="16" t="str">
        <f aca="false">CONCATENATE("Y",IF(Data!E34&lt;0,"-",""),TEXT(ABS(Data!E34),"0.0000"))</f>
        <v>Y0.6174</v>
      </c>
      <c r="E45" s="16" t="str">
        <f aca="false">CONCATENATE("Z",IF(Data!F34&lt;0,"-",""),TEXT(ABS(Data!F34),"0.0000"))</f>
        <v>Z-0.0368</v>
      </c>
      <c r="F45" s="16" t="str">
        <f aca="false">CONCATENATE("B",IF(Data!G34&lt;0,"-",""),TEXT(ABS(Data!G34),"0.0000"))</f>
        <v>B6.8223</v>
      </c>
      <c r="G45" s="16" t="str">
        <f aca="false">CONCATENATE("C",IF(Data!A34&lt;0,"-",""),TEXT(ABS(Data!A34),"0.0000"))</f>
        <v>C32.0000</v>
      </c>
    </row>
    <row r="46" customFormat="false" ht="15" hidden="false" customHeight="false" outlineLevel="0" collapsed="false">
      <c r="A46" s="16" t="s">
        <v>92</v>
      </c>
      <c r="B46" s="16" t="s">
        <v>56</v>
      </c>
      <c r="C46" s="16" t="str">
        <f aca="false">CONCATENATE("X",IF(Data!D35&lt;0,"-",""),TEXT(ABS(Data!D35),"0.0000"))</f>
        <v>X0.9771</v>
      </c>
      <c r="D46" s="16" t="str">
        <f aca="false">CONCATENATE("Y",IF(Data!E35&lt;0,"-",""),TEXT(ABS(Data!E35),"0.0000"))</f>
        <v>Y0.6345</v>
      </c>
      <c r="E46" s="16" t="str">
        <f aca="false">CONCATENATE("Z",IF(Data!F35&lt;0,"-",""),TEXT(ABS(Data!F35),"0.0000"))</f>
        <v>Z-0.0389</v>
      </c>
      <c r="F46" s="16" t="str">
        <f aca="false">CONCATENATE("B",IF(Data!G35&lt;0,"-",""),TEXT(ABS(Data!G35),"0.0000"))</f>
        <v>B7.0128</v>
      </c>
      <c r="G46" s="16" t="str">
        <f aca="false">CONCATENATE("C",IF(Data!A35&lt;0,"-",""),TEXT(ABS(Data!A35),"0.0000"))</f>
        <v>C33.0000</v>
      </c>
    </row>
    <row r="47" customFormat="false" ht="15" hidden="false" customHeight="false" outlineLevel="0" collapsed="false">
      <c r="A47" s="16" t="s">
        <v>93</v>
      </c>
      <c r="B47" s="16" t="s">
        <v>56</v>
      </c>
      <c r="C47" s="16" t="str">
        <f aca="false">CONCATENATE("X",IF(Data!D36&lt;0,"-",""),TEXT(ABS(Data!D36),"0.0000"))</f>
        <v>X0.9658</v>
      </c>
      <c r="D47" s="16" t="str">
        <f aca="false">CONCATENATE("Y",IF(Data!E36&lt;0,"-",""),TEXT(ABS(Data!E36),"0.0000"))</f>
        <v>Y0.6515</v>
      </c>
      <c r="E47" s="16" t="str">
        <f aca="false">CONCATENATE("Z",IF(Data!F36&lt;0,"-",""),TEXT(ABS(Data!F36),"0.0000"))</f>
        <v>Z-0.0410</v>
      </c>
      <c r="F47" s="16" t="str">
        <f aca="false">CONCATENATE("B",IF(Data!G36&lt;0,"-",""),TEXT(ABS(Data!G36),"0.0000"))</f>
        <v>B7.2011</v>
      </c>
      <c r="G47" s="16" t="str">
        <f aca="false">CONCATENATE("C",IF(Data!A36&lt;0,"-",""),TEXT(ABS(Data!A36),"0.0000"))</f>
        <v>C34.0000</v>
      </c>
    </row>
    <row r="48" customFormat="false" ht="15" hidden="false" customHeight="false" outlineLevel="0" collapsed="false">
      <c r="A48" s="16" t="s">
        <v>94</v>
      </c>
      <c r="B48" s="16" t="s">
        <v>56</v>
      </c>
      <c r="C48" s="16" t="str">
        <f aca="false">CONCATENATE("X",IF(Data!D37&lt;0,"-",""),TEXT(ABS(Data!D37),"0.0000"))</f>
        <v>X0.9543</v>
      </c>
      <c r="D48" s="16" t="str">
        <f aca="false">CONCATENATE("Y",IF(Data!E37&lt;0,"-",""),TEXT(ABS(Data!E37),"0.0000"))</f>
        <v>Y0.6682</v>
      </c>
      <c r="E48" s="16" t="str">
        <f aca="false">CONCATENATE("Z",IF(Data!F37&lt;0,"-",""),TEXT(ABS(Data!F37),"0.0000"))</f>
        <v>Z-0.0431</v>
      </c>
      <c r="F48" s="16" t="str">
        <f aca="false">CONCATENATE("B",IF(Data!G37&lt;0,"-",""),TEXT(ABS(Data!G37),"0.0000"))</f>
        <v>B7.3874</v>
      </c>
      <c r="G48" s="16" t="str">
        <f aca="false">CONCATENATE("C",IF(Data!A37&lt;0,"-",""),TEXT(ABS(Data!A37),"0.0000"))</f>
        <v>C35.0000</v>
      </c>
    </row>
    <row r="49" customFormat="false" ht="15" hidden="false" customHeight="false" outlineLevel="0" collapsed="false">
      <c r="A49" s="16" t="s">
        <v>95</v>
      </c>
      <c r="B49" s="16" t="s">
        <v>56</v>
      </c>
      <c r="C49" s="16" t="str">
        <f aca="false">CONCATENATE("X",IF(Data!D38&lt;0,"-",""),TEXT(ABS(Data!D38),"0.0000"))</f>
        <v>X0.9425</v>
      </c>
      <c r="D49" s="16" t="str">
        <f aca="false">CONCATENATE("Y",IF(Data!E38&lt;0,"-",""),TEXT(ABS(Data!E38),"0.0000"))</f>
        <v>Y0.6848</v>
      </c>
      <c r="E49" s="16" t="str">
        <f aca="false">CONCATENATE("Z",IF(Data!F38&lt;0,"-",""),TEXT(ABS(Data!F38),"0.0000"))</f>
        <v>Z-0.0453</v>
      </c>
      <c r="F49" s="16" t="str">
        <f aca="false">CONCATENATE("B",IF(Data!G38&lt;0,"-",""),TEXT(ABS(Data!G38),"0.0000"))</f>
        <v>B7.5715</v>
      </c>
      <c r="G49" s="16" t="str">
        <f aca="false">CONCATENATE("C",IF(Data!A38&lt;0,"-",""),TEXT(ABS(Data!A38),"0.0000"))</f>
        <v>C36.0000</v>
      </c>
    </row>
    <row r="50" customFormat="false" ht="15" hidden="false" customHeight="false" outlineLevel="0" collapsed="false">
      <c r="A50" s="16" t="s">
        <v>96</v>
      </c>
      <c r="B50" s="16" t="s">
        <v>56</v>
      </c>
      <c r="C50" s="16" t="str">
        <f aca="false">CONCATENATE("X",IF(Data!D39&lt;0,"-",""),TEXT(ABS(Data!D39),"0.0000"))</f>
        <v>X0.9304</v>
      </c>
      <c r="D50" s="16" t="str">
        <f aca="false">CONCATENATE("Y",IF(Data!E39&lt;0,"-",""),TEXT(ABS(Data!E39),"0.0000"))</f>
        <v>Y0.7011</v>
      </c>
      <c r="E50" s="16" t="str">
        <f aca="false">CONCATENATE("Z",IF(Data!F39&lt;0,"-",""),TEXT(ABS(Data!F39),"0.0000"))</f>
        <v>Z-0.0475</v>
      </c>
      <c r="F50" s="16" t="str">
        <f aca="false">CONCATENATE("B",IF(Data!G39&lt;0,"-",""),TEXT(ABS(Data!G39),"0.0000"))</f>
        <v>B7.7533</v>
      </c>
      <c r="G50" s="16" t="str">
        <f aca="false">CONCATENATE("C",IF(Data!A39&lt;0,"-",""),TEXT(ABS(Data!A39),"0.0000"))</f>
        <v>C37.0000</v>
      </c>
    </row>
    <row r="51" customFormat="false" ht="15" hidden="false" customHeight="false" outlineLevel="0" collapsed="false">
      <c r="A51" s="16" t="s">
        <v>97</v>
      </c>
      <c r="B51" s="16" t="s">
        <v>56</v>
      </c>
      <c r="C51" s="16" t="str">
        <f aca="false">CONCATENATE("X",IF(Data!D40&lt;0,"-",""),TEXT(ABS(Data!D40),"0.0000"))</f>
        <v>X0.9180</v>
      </c>
      <c r="D51" s="16" t="str">
        <f aca="false">CONCATENATE("Y",IF(Data!E40&lt;0,"-",""),TEXT(ABS(Data!E40),"0.0000"))</f>
        <v>Y0.7172</v>
      </c>
      <c r="E51" s="16" t="str">
        <f aca="false">CONCATENATE("Z",IF(Data!F40&lt;0,"-",""),TEXT(ABS(Data!F40),"0.0000"))</f>
        <v>Z-0.0497</v>
      </c>
      <c r="F51" s="16" t="str">
        <f aca="false">CONCATENATE("B",IF(Data!G40&lt;0,"-",""),TEXT(ABS(Data!G40),"0.0000"))</f>
        <v>B7.9328</v>
      </c>
      <c r="G51" s="16" t="str">
        <f aca="false">CONCATENATE("C",IF(Data!A40&lt;0,"-",""),TEXT(ABS(Data!A40),"0.0000"))</f>
        <v>C38.0000</v>
      </c>
    </row>
    <row r="52" customFormat="false" ht="15" hidden="false" customHeight="false" outlineLevel="0" collapsed="false">
      <c r="A52" s="16" t="s">
        <v>98</v>
      </c>
      <c r="B52" s="16" t="s">
        <v>56</v>
      </c>
      <c r="C52" s="16" t="str">
        <f aca="false">CONCATENATE("X",IF(Data!D41&lt;0,"-",""),TEXT(ABS(Data!D41),"0.0000"))</f>
        <v>X0.9054</v>
      </c>
      <c r="D52" s="16" t="str">
        <f aca="false">CONCATENATE("Y",IF(Data!E41&lt;0,"-",""),TEXT(ABS(Data!E41),"0.0000"))</f>
        <v>Y0.7332</v>
      </c>
      <c r="E52" s="16" t="str">
        <f aca="false">CONCATENATE("Z",IF(Data!F41&lt;0,"-",""),TEXT(ABS(Data!F41),"0.0000"))</f>
        <v>Z-0.0520</v>
      </c>
      <c r="F52" s="16" t="str">
        <f aca="false">CONCATENATE("B",IF(Data!G41&lt;0,"-",""),TEXT(ABS(Data!G41),"0.0000"))</f>
        <v>B8.1100</v>
      </c>
      <c r="G52" s="16" t="str">
        <f aca="false">CONCATENATE("C",IF(Data!A41&lt;0,"-",""),TEXT(ABS(Data!A41),"0.0000"))</f>
        <v>C39.0000</v>
      </c>
    </row>
    <row r="53" customFormat="false" ht="15" hidden="false" customHeight="false" outlineLevel="0" collapsed="false">
      <c r="A53" s="16" t="s">
        <v>99</v>
      </c>
      <c r="B53" s="16" t="s">
        <v>56</v>
      </c>
      <c r="C53" s="16" t="str">
        <f aca="false">CONCATENATE("X",IF(Data!D42&lt;0,"-",""),TEXT(ABS(Data!D42),"0.0000"))</f>
        <v>X0.8924</v>
      </c>
      <c r="D53" s="16" t="str">
        <f aca="false">CONCATENATE("Y",IF(Data!E42&lt;0,"-",""),TEXT(ABS(Data!E42),"0.0000"))</f>
        <v>Y0.7488</v>
      </c>
      <c r="E53" s="16" t="str">
        <f aca="false">CONCATENATE("Z",IF(Data!F42&lt;0,"-",""),TEXT(ABS(Data!F42),"0.0000"))</f>
        <v>Z-0.0542</v>
      </c>
      <c r="F53" s="16" t="str">
        <f aca="false">CONCATENATE("B",IF(Data!G42&lt;0,"-",""),TEXT(ABS(Data!G42),"0.0000"))</f>
        <v>B8.2847</v>
      </c>
      <c r="G53" s="16" t="str">
        <f aca="false">CONCATENATE("C",IF(Data!A42&lt;0,"-",""),TEXT(ABS(Data!A42),"0.0000"))</f>
        <v>C40.0000</v>
      </c>
    </row>
    <row r="54" customFormat="false" ht="15" hidden="false" customHeight="false" outlineLevel="0" collapsed="false">
      <c r="A54" s="16" t="s">
        <v>100</v>
      </c>
      <c r="B54" s="16" t="s">
        <v>56</v>
      </c>
      <c r="C54" s="16" t="str">
        <f aca="false">CONCATENATE("X",IF(Data!D43&lt;0,"-",""),TEXT(ABS(Data!D43),"0.0000"))</f>
        <v>X0.8792</v>
      </c>
      <c r="D54" s="16" t="str">
        <f aca="false">CONCATENATE("Y",IF(Data!E43&lt;0,"-",""),TEXT(ABS(Data!E43),"0.0000"))</f>
        <v>Y0.7643</v>
      </c>
      <c r="E54" s="16" t="str">
        <f aca="false">CONCATENATE("Z",IF(Data!F43&lt;0,"-",""),TEXT(ABS(Data!F43),"0.0000"))</f>
        <v>Z-0.0565</v>
      </c>
      <c r="F54" s="16" t="str">
        <f aca="false">CONCATENATE("B",IF(Data!G43&lt;0,"-",""),TEXT(ABS(Data!G43),"0.0000"))</f>
        <v>B8.4570</v>
      </c>
      <c r="G54" s="16" t="str">
        <f aca="false">CONCATENATE("C",IF(Data!A43&lt;0,"-",""),TEXT(ABS(Data!A43),"0.0000"))</f>
        <v>C41.0000</v>
      </c>
    </row>
    <row r="55" customFormat="false" ht="15" hidden="false" customHeight="false" outlineLevel="0" collapsed="false">
      <c r="A55" s="16" t="s">
        <v>101</v>
      </c>
      <c r="B55" s="16" t="s">
        <v>56</v>
      </c>
      <c r="C55" s="16" t="str">
        <f aca="false">CONCATENATE("X",IF(Data!D44&lt;0,"-",""),TEXT(ABS(Data!D44),"0.0000"))</f>
        <v>X0.8658</v>
      </c>
      <c r="D55" s="16" t="str">
        <f aca="false">CONCATENATE("Y",IF(Data!E44&lt;0,"-",""),TEXT(ABS(Data!E44),"0.0000"))</f>
        <v>Y0.7795</v>
      </c>
      <c r="E55" s="16" t="str">
        <f aca="false">CONCATENATE("Z",IF(Data!F44&lt;0,"-",""),TEXT(ABS(Data!F44),"0.0000"))</f>
        <v>Z-0.0588</v>
      </c>
      <c r="F55" s="16" t="str">
        <f aca="false">CONCATENATE("B",IF(Data!G44&lt;0,"-",""),TEXT(ABS(Data!G44),"0.0000"))</f>
        <v>B8.6268</v>
      </c>
      <c r="G55" s="16" t="str">
        <f aca="false">CONCATENATE("C",IF(Data!A44&lt;0,"-",""),TEXT(ABS(Data!A44),"0.0000"))</f>
        <v>C42.0000</v>
      </c>
    </row>
    <row r="56" customFormat="false" ht="15" hidden="false" customHeight="false" outlineLevel="0" collapsed="false">
      <c r="A56" s="16" t="s">
        <v>102</v>
      </c>
      <c r="B56" s="16" t="s">
        <v>56</v>
      </c>
      <c r="C56" s="16" t="str">
        <f aca="false">CONCATENATE("X",IF(Data!D45&lt;0,"-",""),TEXT(ABS(Data!D45),"0.0000"))</f>
        <v>X0.8520</v>
      </c>
      <c r="D56" s="16" t="str">
        <f aca="false">CONCATENATE("Y",IF(Data!E45&lt;0,"-",""),TEXT(ABS(Data!E45),"0.0000"))</f>
        <v>Y0.7945</v>
      </c>
      <c r="E56" s="16" t="str">
        <f aca="false">CONCATENATE("Z",IF(Data!F45&lt;0,"-",""),TEXT(ABS(Data!F45),"0.0000"))</f>
        <v>Z-0.0611</v>
      </c>
      <c r="F56" s="16" t="str">
        <f aca="false">CONCATENATE("B",IF(Data!G45&lt;0,"-",""),TEXT(ABS(Data!G45),"0.0000"))</f>
        <v>B8.7940</v>
      </c>
      <c r="G56" s="16" t="str">
        <f aca="false">CONCATENATE("C",IF(Data!A45&lt;0,"-",""),TEXT(ABS(Data!A45),"0.0000"))</f>
        <v>C43.0000</v>
      </c>
    </row>
    <row r="57" customFormat="false" ht="15" hidden="false" customHeight="false" outlineLevel="0" collapsed="false">
      <c r="A57" s="16" t="s">
        <v>103</v>
      </c>
      <c r="B57" s="16" t="s">
        <v>56</v>
      </c>
      <c r="C57" s="16" t="str">
        <f aca="false">CONCATENATE("X",IF(Data!D46&lt;0,"-",""),TEXT(ABS(Data!D46),"0.0000"))</f>
        <v>X0.8380</v>
      </c>
      <c r="D57" s="16" t="str">
        <f aca="false">CONCATENATE("Y",IF(Data!E46&lt;0,"-",""),TEXT(ABS(Data!E46),"0.0000"))</f>
        <v>Y0.8093</v>
      </c>
      <c r="E57" s="16" t="str">
        <f aca="false">CONCATENATE("Z",IF(Data!F46&lt;0,"-",""),TEXT(ABS(Data!F46),"0.0000"))</f>
        <v>Z-0.0634</v>
      </c>
      <c r="F57" s="16" t="str">
        <f aca="false">CONCATENATE("B",IF(Data!G46&lt;0,"-",""),TEXT(ABS(Data!G46),"0.0000"))</f>
        <v>B8.9586</v>
      </c>
      <c r="G57" s="16" t="str">
        <f aca="false">CONCATENATE("C",IF(Data!A46&lt;0,"-",""),TEXT(ABS(Data!A46),"0.0000"))</f>
        <v>C44.0000</v>
      </c>
    </row>
    <row r="58" customFormat="false" ht="15" hidden="false" customHeight="false" outlineLevel="0" collapsed="false">
      <c r="A58" s="16" t="s">
        <v>104</v>
      </c>
      <c r="B58" s="16" t="s">
        <v>56</v>
      </c>
      <c r="C58" s="16" t="str">
        <f aca="false">CONCATENATE("X",IF(Data!D47&lt;0,"-",""),TEXT(ABS(Data!D47),"0.0000"))</f>
        <v>X0.8238</v>
      </c>
      <c r="D58" s="16" t="str">
        <f aca="false">CONCATENATE("Y",IF(Data!E47&lt;0,"-",""),TEXT(ABS(Data!E47),"0.0000"))</f>
        <v>Y0.8238</v>
      </c>
      <c r="E58" s="16" t="str">
        <f aca="false">CONCATENATE("Z",IF(Data!F47&lt;0,"-",""),TEXT(ABS(Data!F47),"0.0000"))</f>
        <v>Z-0.0657</v>
      </c>
      <c r="F58" s="16" t="str">
        <f aca="false">CONCATENATE("B",IF(Data!G47&lt;0,"-",""),TEXT(ABS(Data!G47),"0.0000"))</f>
        <v>B9.1205</v>
      </c>
      <c r="G58" s="16" t="str">
        <f aca="false">CONCATENATE("C",IF(Data!A47&lt;0,"-",""),TEXT(ABS(Data!A47),"0.0000"))</f>
        <v>C45.0000</v>
      </c>
    </row>
    <row r="59" customFormat="false" ht="15" hidden="false" customHeight="false" outlineLevel="0" collapsed="false">
      <c r="A59" s="16" t="s">
        <v>105</v>
      </c>
      <c r="B59" s="16" t="s">
        <v>56</v>
      </c>
      <c r="C59" s="16" t="str">
        <f aca="false">CONCATENATE("X",IF(Data!D48&lt;0,"-",""),TEXT(ABS(Data!D48),"0.0000"))</f>
        <v>X0.8093</v>
      </c>
      <c r="D59" s="16" t="str">
        <f aca="false">CONCATENATE("Y",IF(Data!E48&lt;0,"-",""),TEXT(ABS(Data!E48),"0.0000"))</f>
        <v>Y0.8380</v>
      </c>
      <c r="E59" s="16" t="str">
        <f aca="false">CONCATENATE("Z",IF(Data!F48&lt;0,"-",""),TEXT(ABS(Data!F48),"0.0000"))</f>
        <v>Z-0.0680</v>
      </c>
      <c r="F59" s="16" t="str">
        <f aca="false">CONCATENATE("B",IF(Data!G48&lt;0,"-",""),TEXT(ABS(Data!G48),"0.0000"))</f>
        <v>B9.2796</v>
      </c>
      <c r="G59" s="16" t="str">
        <f aca="false">CONCATENATE("C",IF(Data!A48&lt;0,"-",""),TEXT(ABS(Data!A48),"0.0000"))</f>
        <v>C46.0000</v>
      </c>
    </row>
    <row r="60" customFormat="false" ht="15" hidden="false" customHeight="false" outlineLevel="0" collapsed="false">
      <c r="A60" s="16" t="s">
        <v>106</v>
      </c>
      <c r="B60" s="16" t="s">
        <v>56</v>
      </c>
      <c r="C60" s="16" t="str">
        <f aca="false">CONCATENATE("X",IF(Data!D49&lt;0,"-",""),TEXT(ABS(Data!D49),"0.0000"))</f>
        <v>X0.7945</v>
      </c>
      <c r="D60" s="16" t="str">
        <f aca="false">CONCATENATE("Y",IF(Data!E49&lt;0,"-",""),TEXT(ABS(Data!E49),"0.0000"))</f>
        <v>Y0.8520</v>
      </c>
      <c r="E60" s="16" t="str">
        <f aca="false">CONCATENATE("Z",IF(Data!F49&lt;0,"-",""),TEXT(ABS(Data!F49),"0.0000"))</f>
        <v>Z-0.0703</v>
      </c>
      <c r="F60" s="16" t="str">
        <f aca="false">CONCATENATE("B",IF(Data!G49&lt;0,"-",""),TEXT(ABS(Data!G49),"0.0000"))</f>
        <v>B9.4360</v>
      </c>
      <c r="G60" s="16" t="str">
        <f aca="false">CONCATENATE("C",IF(Data!A49&lt;0,"-",""),TEXT(ABS(Data!A49),"0.0000"))</f>
        <v>C47.0000</v>
      </c>
    </row>
    <row r="61" customFormat="false" ht="15" hidden="false" customHeight="false" outlineLevel="0" collapsed="false">
      <c r="A61" s="16" t="s">
        <v>107</v>
      </c>
      <c r="B61" s="16" t="s">
        <v>56</v>
      </c>
      <c r="C61" s="16" t="str">
        <f aca="false">CONCATENATE("X",IF(Data!D50&lt;0,"-",""),TEXT(ABS(Data!D50),"0.0000"))</f>
        <v>X0.7795</v>
      </c>
      <c r="D61" s="16" t="str">
        <f aca="false">CONCATENATE("Y",IF(Data!E50&lt;0,"-",""),TEXT(ABS(Data!E50),"0.0000"))</f>
        <v>Y0.8658</v>
      </c>
      <c r="E61" s="16" t="str">
        <f aca="false">CONCATENATE("Z",IF(Data!F50&lt;0,"-",""),TEXT(ABS(Data!F50),"0.0000"))</f>
        <v>Z-0.0726</v>
      </c>
      <c r="F61" s="16" t="str">
        <f aca="false">CONCATENATE("B",IF(Data!G50&lt;0,"-",""),TEXT(ABS(Data!G50),"0.0000"))</f>
        <v>B9.5896</v>
      </c>
      <c r="G61" s="16" t="str">
        <f aca="false">CONCATENATE("C",IF(Data!A50&lt;0,"-",""),TEXT(ABS(Data!A50),"0.0000"))</f>
        <v>C48.0000</v>
      </c>
    </row>
    <row r="62" customFormat="false" ht="15" hidden="false" customHeight="false" outlineLevel="0" collapsed="false">
      <c r="A62" s="16" t="s">
        <v>108</v>
      </c>
      <c r="B62" s="16" t="s">
        <v>56</v>
      </c>
      <c r="C62" s="16" t="str">
        <f aca="false">CONCATENATE("X",IF(Data!D51&lt;0,"-",""),TEXT(ABS(Data!D51),"0.0000"))</f>
        <v>X0.7643</v>
      </c>
      <c r="D62" s="16" t="str">
        <f aca="false">CONCATENATE("Y",IF(Data!E51&lt;0,"-",""),TEXT(ABS(Data!E51),"0.0000"))</f>
        <v>Y0.8792</v>
      </c>
      <c r="E62" s="16" t="str">
        <f aca="false">CONCATENATE("Z",IF(Data!F51&lt;0,"-",""),TEXT(ABS(Data!F51),"0.0000"))</f>
        <v>Z-0.0749</v>
      </c>
      <c r="F62" s="16" t="str">
        <f aca="false">CONCATENATE("B",IF(Data!G51&lt;0,"-",""),TEXT(ABS(Data!G51),"0.0000"))</f>
        <v>B9.7402</v>
      </c>
      <c r="G62" s="16" t="str">
        <f aca="false">CONCATENATE("C",IF(Data!A51&lt;0,"-",""),TEXT(ABS(Data!A51),"0.0000"))</f>
        <v>C49.0000</v>
      </c>
    </row>
    <row r="63" customFormat="false" ht="15" hidden="false" customHeight="false" outlineLevel="0" collapsed="false">
      <c r="A63" s="16" t="s">
        <v>109</v>
      </c>
      <c r="B63" s="16" t="s">
        <v>56</v>
      </c>
      <c r="C63" s="16" t="str">
        <f aca="false">CONCATENATE("X",IF(Data!D52&lt;0,"-",""),TEXT(ABS(Data!D52),"0.0000"))</f>
        <v>X0.7488</v>
      </c>
      <c r="D63" s="16" t="str">
        <f aca="false">CONCATENATE("Y",IF(Data!E52&lt;0,"-",""),TEXT(ABS(Data!E52),"0.0000"))</f>
        <v>Y0.8924</v>
      </c>
      <c r="E63" s="16" t="str">
        <f aca="false">CONCATENATE("Z",IF(Data!F52&lt;0,"-",""),TEXT(ABS(Data!F52),"0.0000"))</f>
        <v>Z-0.0772</v>
      </c>
      <c r="F63" s="16" t="str">
        <f aca="false">CONCATENATE("B",IF(Data!G52&lt;0,"-",""),TEXT(ABS(Data!G52),"0.0000"))</f>
        <v>B9.8880</v>
      </c>
      <c r="G63" s="16" t="str">
        <f aca="false">CONCATENATE("C",IF(Data!A52&lt;0,"-",""),TEXT(ABS(Data!A52),"0.0000"))</f>
        <v>C50.0000</v>
      </c>
    </row>
    <row r="64" customFormat="false" ht="15" hidden="false" customHeight="false" outlineLevel="0" collapsed="false">
      <c r="A64" s="16" t="s">
        <v>110</v>
      </c>
      <c r="B64" s="16" t="s">
        <v>56</v>
      </c>
      <c r="C64" s="16" t="str">
        <f aca="false">CONCATENATE("X",IF(Data!D53&lt;0,"-",""),TEXT(ABS(Data!D53),"0.0000"))</f>
        <v>X0.7332</v>
      </c>
      <c r="D64" s="16" t="str">
        <f aca="false">CONCATENATE("Y",IF(Data!E53&lt;0,"-",""),TEXT(ABS(Data!E53),"0.0000"))</f>
        <v>Y0.9054</v>
      </c>
      <c r="E64" s="16" t="str">
        <f aca="false">CONCATENATE("Z",IF(Data!F53&lt;0,"-",""),TEXT(ABS(Data!F53),"0.0000"))</f>
        <v>Z-0.0795</v>
      </c>
      <c r="F64" s="16" t="str">
        <f aca="false">CONCATENATE("B",IF(Data!G53&lt;0,"-",""),TEXT(ABS(Data!G53),"0.0000"))</f>
        <v>B10.0328</v>
      </c>
      <c r="G64" s="16" t="str">
        <f aca="false">CONCATENATE("C",IF(Data!A53&lt;0,"-",""),TEXT(ABS(Data!A53),"0.0000"))</f>
        <v>C51.0000</v>
      </c>
    </row>
    <row r="65" customFormat="false" ht="15" hidden="false" customHeight="false" outlineLevel="0" collapsed="false">
      <c r="A65" s="16" t="s">
        <v>111</v>
      </c>
      <c r="B65" s="16" t="s">
        <v>56</v>
      </c>
      <c r="C65" s="16" t="str">
        <f aca="false">CONCATENATE("X",IF(Data!D54&lt;0,"-",""),TEXT(ABS(Data!D54),"0.0000"))</f>
        <v>X0.7172</v>
      </c>
      <c r="D65" s="16" t="str">
        <f aca="false">CONCATENATE("Y",IF(Data!E54&lt;0,"-",""),TEXT(ABS(Data!E54),"0.0000"))</f>
        <v>Y0.9180</v>
      </c>
      <c r="E65" s="16" t="str">
        <f aca="false">CONCATENATE("Z",IF(Data!F54&lt;0,"-",""),TEXT(ABS(Data!F54),"0.0000"))</f>
        <v>Z-0.0817</v>
      </c>
      <c r="F65" s="16" t="str">
        <f aca="false">CONCATENATE("B",IF(Data!G54&lt;0,"-",""),TEXT(ABS(Data!G54),"0.0000"))</f>
        <v>B10.1745</v>
      </c>
      <c r="G65" s="16" t="str">
        <f aca="false">CONCATENATE("C",IF(Data!A54&lt;0,"-",""),TEXT(ABS(Data!A54),"0.0000"))</f>
        <v>C52.0000</v>
      </c>
    </row>
    <row r="66" customFormat="false" ht="15" hidden="false" customHeight="false" outlineLevel="0" collapsed="false">
      <c r="A66" s="16" t="s">
        <v>112</v>
      </c>
      <c r="B66" s="16" t="s">
        <v>56</v>
      </c>
      <c r="C66" s="16" t="str">
        <f aca="false">CONCATENATE("X",IF(Data!D55&lt;0,"-",""),TEXT(ABS(Data!D55),"0.0000"))</f>
        <v>X0.7011</v>
      </c>
      <c r="D66" s="16" t="str">
        <f aca="false">CONCATENATE("Y",IF(Data!E55&lt;0,"-",""),TEXT(ABS(Data!E55),"0.0000"))</f>
        <v>Y0.9304</v>
      </c>
      <c r="E66" s="16" t="str">
        <f aca="false">CONCATENATE("Z",IF(Data!F55&lt;0,"-",""),TEXT(ABS(Data!F55),"0.0000"))</f>
        <v>Z-0.0840</v>
      </c>
      <c r="F66" s="16" t="str">
        <f aca="false">CONCATENATE("B",IF(Data!G55&lt;0,"-",""),TEXT(ABS(Data!G55),"0.0000"))</f>
        <v>B10.3132</v>
      </c>
      <c r="G66" s="16" t="str">
        <f aca="false">CONCATENATE("C",IF(Data!A55&lt;0,"-",""),TEXT(ABS(Data!A55),"0.0000"))</f>
        <v>C53.0000</v>
      </c>
    </row>
    <row r="67" customFormat="false" ht="15" hidden="false" customHeight="false" outlineLevel="0" collapsed="false">
      <c r="A67" s="16" t="s">
        <v>113</v>
      </c>
      <c r="B67" s="16" t="s">
        <v>56</v>
      </c>
      <c r="C67" s="16" t="str">
        <f aca="false">CONCATENATE("X",IF(Data!D56&lt;0,"-",""),TEXT(ABS(Data!D56),"0.0000"))</f>
        <v>X0.6848</v>
      </c>
      <c r="D67" s="16" t="str">
        <f aca="false">CONCATENATE("Y",IF(Data!E56&lt;0,"-",""),TEXT(ABS(Data!E56),"0.0000"))</f>
        <v>Y0.9425</v>
      </c>
      <c r="E67" s="16" t="str">
        <f aca="false">CONCATENATE("Z",IF(Data!F56&lt;0,"-",""),TEXT(ABS(Data!F56),"0.0000"))</f>
        <v>Z-0.0862</v>
      </c>
      <c r="F67" s="16" t="str">
        <f aca="false">CONCATENATE("B",IF(Data!G56&lt;0,"-",""),TEXT(ABS(Data!G56),"0.0000"))</f>
        <v>B10.4487</v>
      </c>
      <c r="G67" s="16" t="str">
        <f aca="false">CONCATENATE("C",IF(Data!A56&lt;0,"-",""),TEXT(ABS(Data!A56),"0.0000"))</f>
        <v>C54.0000</v>
      </c>
    </row>
    <row r="68" customFormat="false" ht="15" hidden="false" customHeight="false" outlineLevel="0" collapsed="false">
      <c r="A68" s="16" t="s">
        <v>114</v>
      </c>
      <c r="B68" s="16" t="s">
        <v>56</v>
      </c>
      <c r="C68" s="16" t="str">
        <f aca="false">CONCATENATE("X",IF(Data!D57&lt;0,"-",""),TEXT(ABS(Data!D57),"0.0000"))</f>
        <v>X0.6682</v>
      </c>
      <c r="D68" s="16" t="str">
        <f aca="false">CONCATENATE("Y",IF(Data!E57&lt;0,"-",""),TEXT(ABS(Data!E57),"0.0000"))</f>
        <v>Y0.9543</v>
      </c>
      <c r="E68" s="16" t="str">
        <f aca="false">CONCATENATE("Z",IF(Data!F57&lt;0,"-",""),TEXT(ABS(Data!F57),"0.0000"))</f>
        <v>Z-0.0884</v>
      </c>
      <c r="F68" s="16" t="str">
        <f aca="false">CONCATENATE("B",IF(Data!G57&lt;0,"-",""),TEXT(ABS(Data!G57),"0.0000"))</f>
        <v>B10.5811</v>
      </c>
      <c r="G68" s="16" t="str">
        <f aca="false">CONCATENATE("C",IF(Data!A57&lt;0,"-",""),TEXT(ABS(Data!A57),"0.0000"))</f>
        <v>C55.0000</v>
      </c>
    </row>
    <row r="69" customFormat="false" ht="15" hidden="false" customHeight="false" outlineLevel="0" collapsed="false">
      <c r="A69" s="16" t="s">
        <v>115</v>
      </c>
      <c r="B69" s="16" t="s">
        <v>56</v>
      </c>
      <c r="C69" s="16" t="str">
        <f aca="false">CONCATENATE("X",IF(Data!D58&lt;0,"-",""),TEXT(ABS(Data!D58),"0.0000"))</f>
        <v>X0.6515</v>
      </c>
      <c r="D69" s="16" t="str">
        <f aca="false">CONCATENATE("Y",IF(Data!E58&lt;0,"-",""),TEXT(ABS(Data!E58),"0.0000"))</f>
        <v>Y0.9658</v>
      </c>
      <c r="E69" s="16" t="str">
        <f aca="false">CONCATENATE("Z",IF(Data!F58&lt;0,"-",""),TEXT(ABS(Data!F58),"0.0000"))</f>
        <v>Z-0.0905</v>
      </c>
      <c r="F69" s="16" t="str">
        <f aca="false">CONCATENATE("B",IF(Data!G58&lt;0,"-",""),TEXT(ABS(Data!G58),"0.0000"))</f>
        <v>B10.7103</v>
      </c>
      <c r="G69" s="16" t="str">
        <f aca="false">CONCATENATE("C",IF(Data!A58&lt;0,"-",""),TEXT(ABS(Data!A58),"0.0000"))</f>
        <v>C56.0000</v>
      </c>
    </row>
    <row r="70" customFormat="false" ht="15" hidden="false" customHeight="false" outlineLevel="0" collapsed="false">
      <c r="A70" s="16" t="s">
        <v>116</v>
      </c>
      <c r="B70" s="16" t="s">
        <v>56</v>
      </c>
      <c r="C70" s="16" t="str">
        <f aca="false">CONCATENATE("X",IF(Data!D59&lt;0,"-",""),TEXT(ABS(Data!D59),"0.0000"))</f>
        <v>X0.6345</v>
      </c>
      <c r="D70" s="16" t="str">
        <f aca="false">CONCATENATE("Y",IF(Data!E59&lt;0,"-",""),TEXT(ABS(Data!E59),"0.0000"))</f>
        <v>Y0.9771</v>
      </c>
      <c r="E70" s="16" t="str">
        <f aca="false">CONCATENATE("Z",IF(Data!F59&lt;0,"-",""),TEXT(ABS(Data!F59),"0.0000"))</f>
        <v>Z-0.0927</v>
      </c>
      <c r="F70" s="16" t="str">
        <f aca="false">CONCATENATE("B",IF(Data!G59&lt;0,"-",""),TEXT(ABS(Data!G59),"0.0000"))</f>
        <v>B10.8363</v>
      </c>
      <c r="G70" s="16" t="str">
        <f aca="false">CONCATENATE("C",IF(Data!A59&lt;0,"-",""),TEXT(ABS(Data!A59),"0.0000"))</f>
        <v>C57.0000</v>
      </c>
    </row>
    <row r="71" customFormat="false" ht="15" hidden="false" customHeight="false" outlineLevel="0" collapsed="false">
      <c r="A71" s="16" t="s">
        <v>117</v>
      </c>
      <c r="B71" s="16" t="s">
        <v>56</v>
      </c>
      <c r="C71" s="16" t="str">
        <f aca="false">CONCATENATE("X",IF(Data!D60&lt;0,"-",""),TEXT(ABS(Data!D60),"0.0000"))</f>
        <v>X0.6174</v>
      </c>
      <c r="D71" s="16" t="str">
        <f aca="false">CONCATENATE("Y",IF(Data!E60&lt;0,"-",""),TEXT(ABS(Data!E60),"0.0000"))</f>
        <v>Y0.9880</v>
      </c>
      <c r="E71" s="16" t="str">
        <f aca="false">CONCATENATE("Z",IF(Data!F60&lt;0,"-",""),TEXT(ABS(Data!F60),"0.0000"))</f>
        <v>Z-0.0948</v>
      </c>
      <c r="F71" s="16" t="str">
        <f aca="false">CONCATENATE("B",IF(Data!G60&lt;0,"-",""),TEXT(ABS(Data!G60),"0.0000"))</f>
        <v>B10.9589</v>
      </c>
      <c r="G71" s="16" t="str">
        <f aca="false">CONCATENATE("C",IF(Data!A60&lt;0,"-",""),TEXT(ABS(Data!A60),"0.0000"))</f>
        <v>C58.0000</v>
      </c>
    </row>
    <row r="72" customFormat="false" ht="15" hidden="false" customHeight="false" outlineLevel="0" collapsed="false">
      <c r="A72" s="16" t="s">
        <v>118</v>
      </c>
      <c r="B72" s="16" t="s">
        <v>56</v>
      </c>
      <c r="C72" s="16" t="str">
        <f aca="false">CONCATENATE("X",IF(Data!D61&lt;0,"-",""),TEXT(ABS(Data!D61),"0.0000"))</f>
        <v>X0.6000</v>
      </c>
      <c r="D72" s="16" t="str">
        <f aca="false">CONCATENATE("Y",IF(Data!E61&lt;0,"-",""),TEXT(ABS(Data!E61),"0.0000"))</f>
        <v>Y0.9986</v>
      </c>
      <c r="E72" s="16" t="str">
        <f aca="false">CONCATENATE("Z",IF(Data!F61&lt;0,"-",""),TEXT(ABS(Data!F61),"0.0000"))</f>
        <v>Z-0.0968</v>
      </c>
      <c r="F72" s="16" t="str">
        <f aca="false">CONCATENATE("B",IF(Data!G61&lt;0,"-",""),TEXT(ABS(Data!G61),"0.0000"))</f>
        <v>B11.0782</v>
      </c>
      <c r="G72" s="16" t="str">
        <f aca="false">CONCATENATE("C",IF(Data!A61&lt;0,"-",""),TEXT(ABS(Data!A61),"0.0000"))</f>
        <v>C59.0000</v>
      </c>
    </row>
    <row r="73" customFormat="false" ht="15" hidden="false" customHeight="false" outlineLevel="0" collapsed="false">
      <c r="A73" s="16" t="s">
        <v>119</v>
      </c>
      <c r="B73" s="16" t="s">
        <v>56</v>
      </c>
      <c r="C73" s="16" t="str">
        <f aca="false">CONCATENATE("X",IF(Data!D62&lt;0,"-",""),TEXT(ABS(Data!D62),"0.0000"))</f>
        <v>X0.5825</v>
      </c>
      <c r="D73" s="16" t="str">
        <f aca="false">CONCATENATE("Y",IF(Data!E62&lt;0,"-",""),TEXT(ABS(Data!E62),"0.0000"))</f>
        <v>Y1.0089</v>
      </c>
      <c r="E73" s="16" t="str">
        <f aca="false">CONCATENATE("Z",IF(Data!F62&lt;0,"-",""),TEXT(ABS(Data!F62),"0.0000"))</f>
        <v>Z-0.0989</v>
      </c>
      <c r="F73" s="16" t="str">
        <f aca="false">CONCATENATE("B",IF(Data!G62&lt;0,"-",""),TEXT(ABS(Data!G62),"0.0000"))</f>
        <v>B11.1942</v>
      </c>
      <c r="G73" s="16" t="str">
        <f aca="false">CONCATENATE("C",IF(Data!A62&lt;0,"-",""),TEXT(ABS(Data!A62),"0.0000"))</f>
        <v>C60.0000</v>
      </c>
    </row>
    <row r="74" customFormat="false" ht="15" hidden="false" customHeight="false" outlineLevel="0" collapsed="false">
      <c r="A74" s="16" t="s">
        <v>120</v>
      </c>
      <c r="B74" s="16" t="s">
        <v>56</v>
      </c>
      <c r="C74" s="16" t="str">
        <f aca="false">CONCATENATE("X",IF(Data!D63&lt;0,"-",""),TEXT(ABS(Data!D63),"0.0000"))</f>
        <v>X0.5648</v>
      </c>
      <c r="D74" s="16" t="str">
        <f aca="false">CONCATENATE("Y",IF(Data!E63&lt;0,"-",""),TEXT(ABS(Data!E63),"0.0000"))</f>
        <v>Y1.0189</v>
      </c>
      <c r="E74" s="16" t="str">
        <f aca="false">CONCATENATE("Z",IF(Data!F63&lt;0,"-",""),TEXT(ABS(Data!F63),"0.0000"))</f>
        <v>Z-0.1009</v>
      </c>
      <c r="F74" s="16" t="str">
        <f aca="false">CONCATENATE("B",IF(Data!G63&lt;0,"-",""),TEXT(ABS(Data!G63),"0.0000"))</f>
        <v>B11.3067</v>
      </c>
      <c r="G74" s="16" t="str">
        <f aca="false">CONCATENATE("C",IF(Data!A63&lt;0,"-",""),TEXT(ABS(Data!A63),"0.0000"))</f>
        <v>C61.0000</v>
      </c>
    </row>
    <row r="75" customFormat="false" ht="15" hidden="false" customHeight="false" outlineLevel="0" collapsed="false">
      <c r="A75" s="16" t="s">
        <v>121</v>
      </c>
      <c r="B75" s="16" t="s">
        <v>56</v>
      </c>
      <c r="C75" s="16" t="str">
        <f aca="false">CONCATENATE("X",IF(Data!D64&lt;0,"-",""),TEXT(ABS(Data!D64),"0.0000"))</f>
        <v>X0.5469</v>
      </c>
      <c r="D75" s="16" t="str">
        <f aca="false">CONCATENATE("Y",IF(Data!E64&lt;0,"-",""),TEXT(ABS(Data!E64),"0.0000"))</f>
        <v>Y1.0286</v>
      </c>
      <c r="E75" s="16" t="str">
        <f aca="false">CONCATENATE("Z",IF(Data!F64&lt;0,"-",""),TEXT(ABS(Data!F64),"0.0000"))</f>
        <v>Z-0.1028</v>
      </c>
      <c r="F75" s="16" t="str">
        <f aca="false">CONCATENATE("B",IF(Data!G64&lt;0,"-",""),TEXT(ABS(Data!G64),"0.0000"))</f>
        <v>B11.4158</v>
      </c>
      <c r="G75" s="16" t="str">
        <f aca="false">CONCATENATE("C",IF(Data!A64&lt;0,"-",""),TEXT(ABS(Data!A64),"0.0000"))</f>
        <v>C62.0000</v>
      </c>
    </row>
    <row r="76" customFormat="false" ht="15" hidden="false" customHeight="false" outlineLevel="0" collapsed="false">
      <c r="A76" s="16" t="s">
        <v>122</v>
      </c>
      <c r="B76" s="16" t="s">
        <v>56</v>
      </c>
      <c r="C76" s="16" t="str">
        <f aca="false">CONCATENATE("X",IF(Data!D65&lt;0,"-",""),TEXT(ABS(Data!D65),"0.0000"))</f>
        <v>X0.5289</v>
      </c>
      <c r="D76" s="16" t="str">
        <f aca="false">CONCATENATE("Y",IF(Data!E65&lt;0,"-",""),TEXT(ABS(Data!E65),"0.0000"))</f>
        <v>Y1.0380</v>
      </c>
      <c r="E76" s="16" t="str">
        <f aca="false">CONCATENATE("Z",IF(Data!F65&lt;0,"-",""),TEXT(ABS(Data!F65),"0.0000"))</f>
        <v>Z-0.1047</v>
      </c>
      <c r="F76" s="16" t="str">
        <f aca="false">CONCATENATE("B",IF(Data!G65&lt;0,"-",""),TEXT(ABS(Data!G65),"0.0000"))</f>
        <v>B11.5215</v>
      </c>
      <c r="G76" s="16" t="str">
        <f aca="false">CONCATENATE("C",IF(Data!A65&lt;0,"-",""),TEXT(ABS(Data!A65),"0.0000"))</f>
        <v>C63.0000</v>
      </c>
    </row>
    <row r="77" customFormat="false" ht="15" hidden="false" customHeight="false" outlineLevel="0" collapsed="false">
      <c r="A77" s="16" t="s">
        <v>123</v>
      </c>
      <c r="B77" s="16" t="s">
        <v>56</v>
      </c>
      <c r="C77" s="16" t="str">
        <f aca="false">CONCATENATE("X",IF(Data!D66&lt;0,"-",""),TEXT(ABS(Data!D66),"0.0000"))</f>
        <v>X0.5107</v>
      </c>
      <c r="D77" s="16" t="str">
        <f aca="false">CONCATENATE("Y",IF(Data!E66&lt;0,"-",""),TEXT(ABS(Data!E66),"0.0000"))</f>
        <v>Y1.0471</v>
      </c>
      <c r="E77" s="16" t="str">
        <f aca="false">CONCATENATE("Z",IF(Data!F66&lt;0,"-",""),TEXT(ABS(Data!F66),"0.0000"))</f>
        <v>Z-0.1066</v>
      </c>
      <c r="F77" s="16" t="str">
        <f aca="false">CONCATENATE("B",IF(Data!G66&lt;0,"-",""),TEXT(ABS(Data!G66),"0.0000"))</f>
        <v>B11.6236</v>
      </c>
      <c r="G77" s="16" t="str">
        <f aca="false">CONCATENATE("C",IF(Data!A66&lt;0,"-",""),TEXT(ABS(Data!A66),"0.0000"))</f>
        <v>C64.0000</v>
      </c>
    </row>
    <row r="78" customFormat="false" ht="15" hidden="false" customHeight="false" outlineLevel="0" collapsed="false">
      <c r="A78" s="16" t="s">
        <v>124</v>
      </c>
      <c r="B78" s="16" t="s">
        <v>56</v>
      </c>
      <c r="C78" s="16" t="str">
        <f aca="false">CONCATENATE("X",IF(Data!D67&lt;0,"-",""),TEXT(ABS(Data!D67),"0.0000"))</f>
        <v>X0.4924</v>
      </c>
      <c r="D78" s="16" t="str">
        <f aca="false">CONCATENATE("Y",IF(Data!E67&lt;0,"-",""),TEXT(ABS(Data!E67),"0.0000"))</f>
        <v>Y1.0558</v>
      </c>
      <c r="E78" s="16" t="str">
        <f aca="false">CONCATENATE("Z",IF(Data!F67&lt;0,"-",""),TEXT(ABS(Data!F67),"0.0000"))</f>
        <v>Z-0.1084</v>
      </c>
      <c r="F78" s="16" t="str">
        <f aca="false">CONCATENATE("B",IF(Data!G67&lt;0,"-",""),TEXT(ABS(Data!G67),"0.0000"))</f>
        <v>B11.7221</v>
      </c>
      <c r="G78" s="16" t="str">
        <f aca="false">CONCATENATE("C",IF(Data!A67&lt;0,"-",""),TEXT(ABS(Data!A67),"0.0000"))</f>
        <v>C65.0000</v>
      </c>
    </row>
    <row r="79" customFormat="false" ht="15" hidden="false" customHeight="false" outlineLevel="0" collapsed="false">
      <c r="A79" s="16" t="s">
        <v>125</v>
      </c>
      <c r="B79" s="16" t="s">
        <v>56</v>
      </c>
      <c r="C79" s="16" t="str">
        <f aca="false">CONCATENATE("X",IF(Data!D68&lt;0,"-",""),TEXT(ABS(Data!D68),"0.0000"))</f>
        <v>X0.4738</v>
      </c>
      <c r="D79" s="16" t="str">
        <f aca="false">CONCATENATE("Y",IF(Data!E68&lt;0,"-",""),TEXT(ABS(Data!E68),"0.0000"))</f>
        <v>Y1.0643</v>
      </c>
      <c r="E79" s="16" t="str">
        <f aca="false">CONCATENATE("Z",IF(Data!F68&lt;0,"-",""),TEXT(ABS(Data!F68),"0.0000"))</f>
        <v>Z-0.1101</v>
      </c>
      <c r="F79" s="16" t="str">
        <f aca="false">CONCATENATE("B",IF(Data!G68&lt;0,"-",""),TEXT(ABS(Data!G68),"0.0000"))</f>
        <v>B11.8171</v>
      </c>
      <c r="G79" s="16" t="str">
        <f aca="false">CONCATENATE("C",IF(Data!A68&lt;0,"-",""),TEXT(ABS(Data!A68),"0.0000"))</f>
        <v>C66.0000</v>
      </c>
    </row>
    <row r="80" customFormat="false" ht="15" hidden="false" customHeight="false" outlineLevel="0" collapsed="false">
      <c r="A80" s="16" t="s">
        <v>126</v>
      </c>
      <c r="B80" s="16" t="s">
        <v>56</v>
      </c>
      <c r="C80" s="16" t="str">
        <f aca="false">CONCATENATE("X",IF(Data!D69&lt;0,"-",""),TEXT(ABS(Data!D69),"0.0000"))</f>
        <v>X0.4552</v>
      </c>
      <c r="D80" s="16" t="str">
        <f aca="false">CONCATENATE("Y",IF(Data!E69&lt;0,"-",""),TEXT(ABS(Data!E69),"0.0000"))</f>
        <v>Y1.0724</v>
      </c>
      <c r="E80" s="16" t="str">
        <f aca="false">CONCATENATE("Z",IF(Data!F69&lt;0,"-",""),TEXT(ABS(Data!F69),"0.0000"))</f>
        <v>Z-0.1118</v>
      </c>
      <c r="F80" s="16" t="str">
        <f aca="false">CONCATENATE("B",IF(Data!G69&lt;0,"-",""),TEXT(ABS(Data!G69),"0.0000"))</f>
        <v>B11.9084</v>
      </c>
      <c r="G80" s="16" t="str">
        <f aca="false">CONCATENATE("C",IF(Data!A69&lt;0,"-",""),TEXT(ABS(Data!A69),"0.0000"))</f>
        <v>C67.0000</v>
      </c>
    </row>
    <row r="81" customFormat="false" ht="15" hidden="false" customHeight="false" outlineLevel="0" collapsed="false">
      <c r="A81" s="16" t="s">
        <v>127</v>
      </c>
      <c r="B81" s="16" t="s">
        <v>56</v>
      </c>
      <c r="C81" s="16" t="str">
        <f aca="false">CONCATENATE("X",IF(Data!D70&lt;0,"-",""),TEXT(ABS(Data!D70),"0.0000"))</f>
        <v>X0.4364</v>
      </c>
      <c r="D81" s="16" t="str">
        <f aca="false">CONCATENATE("Y",IF(Data!E70&lt;0,"-",""),TEXT(ABS(Data!E70),"0.0000"))</f>
        <v>Y1.0802</v>
      </c>
      <c r="E81" s="16" t="str">
        <f aca="false">CONCATENATE("Z",IF(Data!F70&lt;0,"-",""),TEXT(ABS(Data!F70),"0.0000"))</f>
        <v>Z-0.1135</v>
      </c>
      <c r="F81" s="16" t="str">
        <f aca="false">CONCATENATE("B",IF(Data!G70&lt;0,"-",""),TEXT(ABS(Data!G70),"0.0000"))</f>
        <v>B11.9961</v>
      </c>
      <c r="G81" s="16" t="str">
        <f aca="false">CONCATENATE("C",IF(Data!A70&lt;0,"-",""),TEXT(ABS(Data!A70),"0.0000"))</f>
        <v>C68.0000</v>
      </c>
    </row>
    <row r="82" customFormat="false" ht="15" hidden="false" customHeight="false" outlineLevel="0" collapsed="false">
      <c r="A82" s="16" t="s">
        <v>128</v>
      </c>
      <c r="B82" s="16" t="s">
        <v>56</v>
      </c>
      <c r="C82" s="16" t="str">
        <f aca="false">CONCATENATE("X",IF(Data!D71&lt;0,"-",""),TEXT(ABS(Data!D71),"0.0000"))</f>
        <v>X0.4175</v>
      </c>
      <c r="D82" s="16" t="str">
        <f aca="false">CONCATENATE("Y",IF(Data!E71&lt;0,"-",""),TEXT(ABS(Data!E71),"0.0000"))</f>
        <v>Y1.0876</v>
      </c>
      <c r="E82" s="16" t="str">
        <f aca="false">CONCATENATE("Z",IF(Data!F71&lt;0,"-",""),TEXT(ABS(Data!F71),"0.0000"))</f>
        <v>Z-0.1151</v>
      </c>
      <c r="F82" s="16" t="str">
        <f aca="false">CONCATENATE("B",IF(Data!G71&lt;0,"-",""),TEXT(ABS(Data!G71),"0.0000"))</f>
        <v>B12.0801</v>
      </c>
      <c r="G82" s="16" t="str">
        <f aca="false">CONCATENATE("C",IF(Data!A71&lt;0,"-",""),TEXT(ABS(Data!A71),"0.0000"))</f>
        <v>C69.0000</v>
      </c>
    </row>
    <row r="83" customFormat="false" ht="15" hidden="false" customHeight="false" outlineLevel="0" collapsed="false">
      <c r="A83" s="16" t="s">
        <v>129</v>
      </c>
      <c r="B83" s="16" t="s">
        <v>56</v>
      </c>
      <c r="C83" s="16" t="str">
        <f aca="false">CONCATENATE("X",IF(Data!D72&lt;0,"-",""),TEXT(ABS(Data!D72),"0.0000"))</f>
        <v>X0.3985</v>
      </c>
      <c r="D83" s="16" t="str">
        <f aca="false">CONCATENATE("Y",IF(Data!E72&lt;0,"-",""),TEXT(ABS(Data!E72),"0.0000"))</f>
        <v>Y1.0947</v>
      </c>
      <c r="E83" s="16" t="str">
        <f aca="false">CONCATENATE("Z",IF(Data!F72&lt;0,"-",""),TEXT(ABS(Data!F72),"0.0000"))</f>
        <v>Z-0.1166</v>
      </c>
      <c r="F83" s="16" t="str">
        <f aca="false">CONCATENATE("B",IF(Data!G72&lt;0,"-",""),TEXT(ABS(Data!G72),"0.0000"))</f>
        <v>B12.1604</v>
      </c>
      <c r="G83" s="16" t="str">
        <f aca="false">CONCATENATE("C",IF(Data!A72&lt;0,"-",""),TEXT(ABS(Data!A72),"0.0000"))</f>
        <v>C70.0000</v>
      </c>
    </row>
    <row r="84" customFormat="false" ht="15" hidden="false" customHeight="false" outlineLevel="0" collapsed="false">
      <c r="A84" s="16" t="s">
        <v>130</v>
      </c>
      <c r="B84" s="16" t="s">
        <v>56</v>
      </c>
      <c r="C84" s="16" t="str">
        <f aca="false">CONCATENATE("X",IF(Data!D73&lt;0,"-",""),TEXT(ABS(Data!D73),"0.0000"))</f>
        <v>X0.3793</v>
      </c>
      <c r="D84" s="16" t="str">
        <f aca="false">CONCATENATE("Y",IF(Data!E73&lt;0,"-",""),TEXT(ABS(Data!E73),"0.0000"))</f>
        <v>Y1.1015</v>
      </c>
      <c r="E84" s="16" t="str">
        <f aca="false">CONCATENATE("Z",IF(Data!F73&lt;0,"-",""),TEXT(ABS(Data!F73),"0.0000"))</f>
        <v>Z-0.1181</v>
      </c>
      <c r="F84" s="16" t="str">
        <f aca="false">CONCATENATE("B",IF(Data!G73&lt;0,"-",""),TEXT(ABS(Data!G73),"0.0000"))</f>
        <v>B12.2369</v>
      </c>
      <c r="G84" s="16" t="str">
        <f aca="false">CONCATENATE("C",IF(Data!A73&lt;0,"-",""),TEXT(ABS(Data!A73),"0.0000"))</f>
        <v>C71.0000</v>
      </c>
    </row>
    <row r="85" customFormat="false" ht="15" hidden="false" customHeight="false" outlineLevel="0" collapsed="false">
      <c r="A85" s="16" t="s">
        <v>131</v>
      </c>
      <c r="B85" s="16" t="s">
        <v>56</v>
      </c>
      <c r="C85" s="16" t="str">
        <f aca="false">CONCATENATE("X",IF(Data!D74&lt;0,"-",""),TEXT(ABS(Data!D74),"0.0000"))</f>
        <v>X0.3600</v>
      </c>
      <c r="D85" s="16" t="str">
        <f aca="false">CONCATENATE("Y",IF(Data!E74&lt;0,"-",""),TEXT(ABS(Data!E74),"0.0000"))</f>
        <v>Y1.1080</v>
      </c>
      <c r="E85" s="16" t="str">
        <f aca="false">CONCATENATE("Z",IF(Data!F74&lt;0,"-",""),TEXT(ABS(Data!F74),"0.0000"))</f>
        <v>Z-0.1195</v>
      </c>
      <c r="F85" s="16" t="str">
        <f aca="false">CONCATENATE("B",IF(Data!G74&lt;0,"-",""),TEXT(ABS(Data!G74),"0.0000"))</f>
        <v>B12.3097</v>
      </c>
      <c r="G85" s="16" t="str">
        <f aca="false">CONCATENATE("C",IF(Data!A74&lt;0,"-",""),TEXT(ABS(Data!A74),"0.0000"))</f>
        <v>C72.0000</v>
      </c>
    </row>
    <row r="86" customFormat="false" ht="15" hidden="false" customHeight="false" outlineLevel="0" collapsed="false">
      <c r="A86" s="16" t="s">
        <v>132</v>
      </c>
      <c r="B86" s="16" t="s">
        <v>56</v>
      </c>
      <c r="C86" s="16" t="str">
        <f aca="false">CONCATENATE("X",IF(Data!D75&lt;0,"-",""),TEXT(ABS(Data!D75),"0.0000"))</f>
        <v>X0.3406</v>
      </c>
      <c r="D86" s="16" t="str">
        <f aca="false">CONCATENATE("Y",IF(Data!E75&lt;0,"-",""),TEXT(ABS(Data!E75),"0.0000"))</f>
        <v>Y1.1141</v>
      </c>
      <c r="E86" s="16" t="str">
        <f aca="false">CONCATENATE("Z",IF(Data!F75&lt;0,"-",""),TEXT(ABS(Data!F75),"0.0000"))</f>
        <v>Z-0.1208</v>
      </c>
      <c r="F86" s="16" t="str">
        <f aca="false">CONCATENATE("B",IF(Data!G75&lt;0,"-",""),TEXT(ABS(Data!G75),"0.0000"))</f>
        <v>B12.3787</v>
      </c>
      <c r="G86" s="16" t="str">
        <f aca="false">CONCATENATE("C",IF(Data!A75&lt;0,"-",""),TEXT(ABS(Data!A75),"0.0000"))</f>
        <v>C73.0000</v>
      </c>
    </row>
    <row r="87" customFormat="false" ht="15" hidden="false" customHeight="false" outlineLevel="0" collapsed="false">
      <c r="A87" s="16" t="s">
        <v>133</v>
      </c>
      <c r="B87" s="16" t="s">
        <v>56</v>
      </c>
      <c r="C87" s="16" t="str">
        <f aca="false">CONCATENATE("X",IF(Data!D76&lt;0,"-",""),TEXT(ABS(Data!D76),"0.0000"))</f>
        <v>X0.3211</v>
      </c>
      <c r="D87" s="16" t="str">
        <f aca="false">CONCATENATE("Y",IF(Data!E76&lt;0,"-",""),TEXT(ABS(Data!E76),"0.0000"))</f>
        <v>Y1.1199</v>
      </c>
      <c r="E87" s="16" t="str">
        <f aca="false">CONCATENATE("Z",IF(Data!F76&lt;0,"-",""),TEXT(ABS(Data!F76),"0.0000"))</f>
        <v>Z-0.1221</v>
      </c>
      <c r="F87" s="16" t="str">
        <f aca="false">CONCATENATE("B",IF(Data!G76&lt;0,"-",""),TEXT(ABS(Data!G76),"0.0000"))</f>
        <v>B12.4439</v>
      </c>
      <c r="G87" s="16" t="str">
        <f aca="false">CONCATENATE("C",IF(Data!A76&lt;0,"-",""),TEXT(ABS(Data!A76),"0.0000"))</f>
        <v>C74.0000</v>
      </c>
    </row>
    <row r="88" customFormat="false" ht="15" hidden="false" customHeight="false" outlineLevel="0" collapsed="false">
      <c r="A88" s="16" t="s">
        <v>134</v>
      </c>
      <c r="B88" s="16" t="s">
        <v>56</v>
      </c>
      <c r="C88" s="16" t="str">
        <f aca="false">CONCATENATE("X",IF(Data!D77&lt;0,"-",""),TEXT(ABS(Data!D77),"0.0000"))</f>
        <v>X0.3015</v>
      </c>
      <c r="D88" s="16" t="str">
        <f aca="false">CONCATENATE("Y",IF(Data!E77&lt;0,"-",""),TEXT(ABS(Data!E77),"0.0000"))</f>
        <v>Y1.1253</v>
      </c>
      <c r="E88" s="16" t="str">
        <f aca="false">CONCATENATE("Z",IF(Data!F77&lt;0,"-",""),TEXT(ABS(Data!F77),"0.0000"))</f>
        <v>Z-0.1233</v>
      </c>
      <c r="F88" s="16" t="str">
        <f aca="false">CONCATENATE("B",IF(Data!G77&lt;0,"-",""),TEXT(ABS(Data!G77),"0.0000"))</f>
        <v>B12.5053</v>
      </c>
      <c r="G88" s="16" t="str">
        <f aca="false">CONCATENATE("C",IF(Data!A77&lt;0,"-",""),TEXT(ABS(Data!A77),"0.0000"))</f>
        <v>C75.0000</v>
      </c>
    </row>
    <row r="89" customFormat="false" ht="15" hidden="false" customHeight="false" outlineLevel="0" collapsed="false">
      <c r="A89" s="16" t="s">
        <v>135</v>
      </c>
      <c r="B89" s="16" t="s">
        <v>56</v>
      </c>
      <c r="C89" s="16" t="str">
        <f aca="false">CONCATENATE("X",IF(Data!D78&lt;0,"-",""),TEXT(ABS(Data!D78),"0.0000"))</f>
        <v>X0.2818</v>
      </c>
      <c r="D89" s="16" t="str">
        <f aca="false">CONCATENATE("Y",IF(Data!E78&lt;0,"-",""),TEXT(ABS(Data!E78),"0.0000"))</f>
        <v>Y1.1304</v>
      </c>
      <c r="E89" s="16" t="str">
        <f aca="false">CONCATENATE("Z",IF(Data!F78&lt;0,"-",""),TEXT(ABS(Data!F78),"0.0000"))</f>
        <v>Z-0.1244</v>
      </c>
      <c r="F89" s="16" t="str">
        <f aca="false">CONCATENATE("B",IF(Data!G78&lt;0,"-",""),TEXT(ABS(Data!G78),"0.0000"))</f>
        <v>B12.5628</v>
      </c>
      <c r="G89" s="16" t="str">
        <f aca="false">CONCATENATE("C",IF(Data!A78&lt;0,"-",""),TEXT(ABS(Data!A78),"0.0000"))</f>
        <v>C76.0000</v>
      </c>
    </row>
    <row r="90" customFormat="false" ht="15" hidden="false" customHeight="false" outlineLevel="0" collapsed="false">
      <c r="A90" s="16" t="s">
        <v>136</v>
      </c>
      <c r="B90" s="16" t="s">
        <v>56</v>
      </c>
      <c r="C90" s="16" t="str">
        <f aca="false">CONCATENATE("X",IF(Data!D79&lt;0,"-",""),TEXT(ABS(Data!D79),"0.0000"))</f>
        <v>X0.2621</v>
      </c>
      <c r="D90" s="16" t="str">
        <f aca="false">CONCATENATE("Y",IF(Data!E79&lt;0,"-",""),TEXT(ABS(Data!E79),"0.0000"))</f>
        <v>Y1.1351</v>
      </c>
      <c r="E90" s="16" t="str">
        <f aca="false">CONCATENATE("Z",IF(Data!F79&lt;0,"-",""),TEXT(ABS(Data!F79),"0.0000"))</f>
        <v>Z-0.1255</v>
      </c>
      <c r="F90" s="16" t="str">
        <f aca="false">CONCATENATE("B",IF(Data!G79&lt;0,"-",""),TEXT(ABS(Data!G79),"0.0000"))</f>
        <v>B12.6164</v>
      </c>
      <c r="G90" s="16" t="str">
        <f aca="false">CONCATENATE("C",IF(Data!A79&lt;0,"-",""),TEXT(ABS(Data!A79),"0.0000"))</f>
        <v>C77.0000</v>
      </c>
    </row>
    <row r="91" customFormat="false" ht="15" hidden="false" customHeight="false" outlineLevel="0" collapsed="false">
      <c r="A91" s="16" t="s">
        <v>137</v>
      </c>
      <c r="B91" s="16" t="s">
        <v>56</v>
      </c>
      <c r="C91" s="16" t="str">
        <f aca="false">CONCATENATE("X",IF(Data!D80&lt;0,"-",""),TEXT(ABS(Data!D80),"0.0000"))</f>
        <v>X0.2422</v>
      </c>
      <c r="D91" s="16" t="str">
        <f aca="false">CONCATENATE("Y",IF(Data!E80&lt;0,"-",""),TEXT(ABS(Data!E80),"0.0000"))</f>
        <v>Y1.1395</v>
      </c>
      <c r="E91" s="16" t="str">
        <f aca="false">CONCATENATE("Z",IF(Data!F80&lt;0,"-",""),TEXT(ABS(Data!F80),"0.0000"))</f>
        <v>Z-0.1265</v>
      </c>
      <c r="F91" s="16" t="str">
        <f aca="false">CONCATENATE("B",IF(Data!G80&lt;0,"-",""),TEXT(ABS(Data!G80),"0.0000"))</f>
        <v>B12.6661</v>
      </c>
      <c r="G91" s="16" t="str">
        <f aca="false">CONCATENATE("C",IF(Data!A80&lt;0,"-",""),TEXT(ABS(Data!A80),"0.0000"))</f>
        <v>C78.0000</v>
      </c>
    </row>
    <row r="92" customFormat="false" ht="15" hidden="false" customHeight="false" outlineLevel="0" collapsed="false">
      <c r="A92" s="16" t="s">
        <v>138</v>
      </c>
      <c r="B92" s="16" t="s">
        <v>56</v>
      </c>
      <c r="C92" s="16" t="str">
        <f aca="false">CONCATENATE("X",IF(Data!D81&lt;0,"-",""),TEXT(ABS(Data!D81),"0.0000"))</f>
        <v>X0.2223</v>
      </c>
      <c r="D92" s="16" t="str">
        <f aca="false">CONCATENATE("Y",IF(Data!E81&lt;0,"-",""),TEXT(ABS(Data!E81),"0.0000"))</f>
        <v>Y1.1436</v>
      </c>
      <c r="E92" s="16" t="str">
        <f aca="false">CONCATENATE("Z",IF(Data!F81&lt;0,"-",""),TEXT(ABS(Data!F81),"0.0000"))</f>
        <v>Z-0.1274</v>
      </c>
      <c r="F92" s="16" t="str">
        <f aca="false">CONCATENATE("B",IF(Data!G81&lt;0,"-",""),TEXT(ABS(Data!G81),"0.0000"))</f>
        <v>B12.7119</v>
      </c>
      <c r="G92" s="16" t="str">
        <f aca="false">CONCATENATE("C",IF(Data!A81&lt;0,"-",""),TEXT(ABS(Data!A81),"0.0000"))</f>
        <v>C79.0000</v>
      </c>
    </row>
    <row r="93" customFormat="false" ht="15" hidden="false" customHeight="false" outlineLevel="0" collapsed="false">
      <c r="A93" s="16" t="s">
        <v>139</v>
      </c>
      <c r="B93" s="16" t="s">
        <v>56</v>
      </c>
      <c r="C93" s="16" t="str">
        <f aca="false">CONCATENATE("X",IF(Data!D82&lt;0,"-",""),TEXT(ABS(Data!D82),"0.0000"))</f>
        <v>X0.2023</v>
      </c>
      <c r="D93" s="16" t="str">
        <f aca="false">CONCATENATE("Y",IF(Data!E82&lt;0,"-",""),TEXT(ABS(Data!E82),"0.0000"))</f>
        <v>Y1.1473</v>
      </c>
      <c r="E93" s="16" t="str">
        <f aca="false">CONCATENATE("Z",IF(Data!F82&lt;0,"-",""),TEXT(ABS(Data!F82),"0.0000"))</f>
        <v>Z-0.1282</v>
      </c>
      <c r="F93" s="16" t="str">
        <f aca="false">CONCATENATE("B",IF(Data!G82&lt;0,"-",""),TEXT(ABS(Data!G82),"0.0000"))</f>
        <v>B12.7538</v>
      </c>
      <c r="G93" s="16" t="str">
        <f aca="false">CONCATENATE("C",IF(Data!A82&lt;0,"-",""),TEXT(ABS(Data!A82),"0.0000"))</f>
        <v>C80.0000</v>
      </c>
    </row>
    <row r="94" customFormat="false" ht="15" hidden="false" customHeight="false" outlineLevel="0" collapsed="false">
      <c r="A94" s="16" t="s">
        <v>140</v>
      </c>
      <c r="B94" s="16" t="s">
        <v>56</v>
      </c>
      <c r="C94" s="16" t="str">
        <f aca="false">CONCATENATE("X",IF(Data!D83&lt;0,"-",""),TEXT(ABS(Data!D83),"0.0000"))</f>
        <v>X0.1822</v>
      </c>
      <c r="D94" s="16" t="str">
        <f aca="false">CONCATENATE("Y",IF(Data!E83&lt;0,"-",""),TEXT(ABS(Data!E83),"0.0000"))</f>
        <v>Y1.1507</v>
      </c>
      <c r="E94" s="16" t="str">
        <f aca="false">CONCATENATE("Z",IF(Data!F83&lt;0,"-",""),TEXT(ABS(Data!F83),"0.0000"))</f>
        <v>Z-0.1290</v>
      </c>
      <c r="F94" s="16" t="str">
        <f aca="false">CONCATENATE("B",IF(Data!G83&lt;0,"-",""),TEXT(ABS(Data!G83),"0.0000"))</f>
        <v>B12.7917</v>
      </c>
      <c r="G94" s="16" t="str">
        <f aca="false">CONCATENATE("C",IF(Data!A83&lt;0,"-",""),TEXT(ABS(Data!A83),"0.0000"))</f>
        <v>C81.0000</v>
      </c>
    </row>
    <row r="95" customFormat="false" ht="15" hidden="false" customHeight="false" outlineLevel="0" collapsed="false">
      <c r="A95" s="16" t="s">
        <v>141</v>
      </c>
      <c r="B95" s="16" t="s">
        <v>56</v>
      </c>
      <c r="C95" s="16" t="str">
        <f aca="false">CONCATENATE("X",IF(Data!D84&lt;0,"-",""),TEXT(ABS(Data!D84),"0.0000"))</f>
        <v>X0.1621</v>
      </c>
      <c r="D95" s="16" t="str">
        <f aca="false">CONCATENATE("Y",IF(Data!E84&lt;0,"-",""),TEXT(ABS(Data!E84),"0.0000"))</f>
        <v>Y1.1537</v>
      </c>
      <c r="E95" s="16" t="str">
        <f aca="false">CONCATENATE("Z",IF(Data!F84&lt;0,"-",""),TEXT(ABS(Data!F84),"0.0000"))</f>
        <v>Z-0.1297</v>
      </c>
      <c r="F95" s="16" t="str">
        <f aca="false">CONCATENATE("B",IF(Data!G84&lt;0,"-",""),TEXT(ABS(Data!G84),"0.0000"))</f>
        <v>B12.8257</v>
      </c>
      <c r="G95" s="16" t="str">
        <f aca="false">CONCATENATE("C",IF(Data!A84&lt;0,"-",""),TEXT(ABS(Data!A84),"0.0000"))</f>
        <v>C82.0000</v>
      </c>
    </row>
    <row r="96" customFormat="false" ht="15" hidden="false" customHeight="false" outlineLevel="0" collapsed="false">
      <c r="A96" s="16" t="s">
        <v>142</v>
      </c>
      <c r="B96" s="16" t="s">
        <v>56</v>
      </c>
      <c r="C96" s="16" t="str">
        <f aca="false">CONCATENATE("X",IF(Data!D85&lt;0,"-",""),TEXT(ABS(Data!D85),"0.0000"))</f>
        <v>X0.1420</v>
      </c>
      <c r="D96" s="16" t="str">
        <f aca="false">CONCATENATE("Y",IF(Data!E85&lt;0,"-",""),TEXT(ABS(Data!E85),"0.0000"))</f>
        <v>Y1.1563</v>
      </c>
      <c r="E96" s="16" t="str">
        <f aca="false">CONCATENATE("Z",IF(Data!F85&lt;0,"-",""),TEXT(ABS(Data!F85),"0.0000"))</f>
        <v>Z-0.1303</v>
      </c>
      <c r="F96" s="16" t="str">
        <f aca="false">CONCATENATE("B",IF(Data!G85&lt;0,"-",""),TEXT(ABS(Data!G85),"0.0000"))</f>
        <v>B12.8557</v>
      </c>
      <c r="G96" s="16" t="str">
        <f aca="false">CONCATENATE("C",IF(Data!A85&lt;0,"-",""),TEXT(ABS(Data!A85),"0.0000"))</f>
        <v>C83.0000</v>
      </c>
    </row>
    <row r="97" customFormat="false" ht="15" hidden="false" customHeight="false" outlineLevel="0" collapsed="false">
      <c r="A97" s="16" t="s">
        <v>143</v>
      </c>
      <c r="B97" s="16" t="s">
        <v>56</v>
      </c>
      <c r="C97" s="16" t="str">
        <f aca="false">CONCATENATE("X",IF(Data!D86&lt;0,"-",""),TEXT(ABS(Data!D86),"0.0000"))</f>
        <v>X0.1218</v>
      </c>
      <c r="D97" s="16" t="str">
        <f aca="false">CONCATENATE("Y",IF(Data!E86&lt;0,"-",""),TEXT(ABS(Data!E86),"0.0000"))</f>
        <v>Y1.1586</v>
      </c>
      <c r="E97" s="16" t="str">
        <f aca="false">CONCATENATE("Z",IF(Data!F86&lt;0,"-",""),TEXT(ABS(Data!F86),"0.0000"))</f>
        <v>Z-0.1308</v>
      </c>
      <c r="F97" s="16" t="str">
        <f aca="false">CONCATENATE("B",IF(Data!G86&lt;0,"-",""),TEXT(ABS(Data!G86),"0.0000"))</f>
        <v>B12.8818</v>
      </c>
      <c r="G97" s="16" t="str">
        <f aca="false">CONCATENATE("C",IF(Data!A86&lt;0,"-",""),TEXT(ABS(Data!A86),"0.0000"))</f>
        <v>C84.0000</v>
      </c>
    </row>
    <row r="98" customFormat="false" ht="15" hidden="false" customHeight="false" outlineLevel="0" collapsed="false">
      <c r="A98" s="16" t="s">
        <v>144</v>
      </c>
      <c r="B98" s="16" t="s">
        <v>56</v>
      </c>
      <c r="C98" s="16" t="str">
        <f aca="false">CONCATENATE("X",IF(Data!D87&lt;0,"-",""),TEXT(ABS(Data!D87),"0.0000"))</f>
        <v>X0.1015</v>
      </c>
      <c r="D98" s="16" t="str">
        <f aca="false">CONCATENATE("Y",IF(Data!E87&lt;0,"-",""),TEXT(ABS(Data!E87),"0.0000"))</f>
        <v>Y1.1606</v>
      </c>
      <c r="E98" s="16" t="str">
        <f aca="false">CONCATENATE("Z",IF(Data!F87&lt;0,"-",""),TEXT(ABS(Data!F87),"0.0000"))</f>
        <v>Z-0.1312</v>
      </c>
      <c r="F98" s="16" t="str">
        <f aca="false">CONCATENATE("B",IF(Data!G87&lt;0,"-",""),TEXT(ABS(Data!G87),"0.0000"))</f>
        <v>B12.9038</v>
      </c>
      <c r="G98" s="16" t="str">
        <f aca="false">CONCATENATE("C",IF(Data!A87&lt;0,"-",""),TEXT(ABS(Data!A87),"0.0000"))</f>
        <v>C85.0000</v>
      </c>
    </row>
    <row r="99" customFormat="false" ht="15" hidden="false" customHeight="false" outlineLevel="0" collapsed="false">
      <c r="A99" s="16" t="s">
        <v>145</v>
      </c>
      <c r="B99" s="16" t="s">
        <v>56</v>
      </c>
      <c r="C99" s="16" t="str">
        <f aca="false">CONCATENATE("X",IF(Data!D88&lt;0,"-",""),TEXT(ABS(Data!D88),"0.0000"))</f>
        <v>X0.0813</v>
      </c>
      <c r="D99" s="16" t="str">
        <f aca="false">CONCATENATE("Y",IF(Data!E88&lt;0,"-",""),TEXT(ABS(Data!E88),"0.0000"))</f>
        <v>Y1.1622</v>
      </c>
      <c r="E99" s="16" t="str">
        <f aca="false">CONCATENATE("Z",IF(Data!F88&lt;0,"-",""),TEXT(ABS(Data!F88),"0.0000"))</f>
        <v>Z-0.1316</v>
      </c>
      <c r="F99" s="16" t="str">
        <f aca="false">CONCATENATE("B",IF(Data!G88&lt;0,"-",""),TEXT(ABS(Data!G88),"0.0000"))</f>
        <v>B12.9218</v>
      </c>
      <c r="G99" s="16" t="str">
        <f aca="false">CONCATENATE("C",IF(Data!A88&lt;0,"-",""),TEXT(ABS(Data!A88),"0.0000"))</f>
        <v>C86.0000</v>
      </c>
    </row>
    <row r="100" customFormat="false" ht="15" hidden="false" customHeight="false" outlineLevel="0" collapsed="false">
      <c r="A100" s="16" t="s">
        <v>146</v>
      </c>
      <c r="B100" s="16" t="s">
        <v>56</v>
      </c>
      <c r="C100" s="16" t="str">
        <f aca="false">CONCATENATE("X",IF(Data!D89&lt;0,"-",""),TEXT(ABS(Data!D89),"0.0000"))</f>
        <v>X0.0610</v>
      </c>
      <c r="D100" s="16" t="str">
        <f aca="false">CONCATENATE("Y",IF(Data!E89&lt;0,"-",""),TEXT(ABS(Data!E89),"0.0000"))</f>
        <v>Y1.1634</v>
      </c>
      <c r="E100" s="16" t="str">
        <f aca="false">CONCATENATE("Z",IF(Data!F89&lt;0,"-",""),TEXT(ABS(Data!F89),"0.0000"))</f>
        <v>Z-0.1319</v>
      </c>
      <c r="F100" s="16" t="str">
        <f aca="false">CONCATENATE("B",IF(Data!G89&lt;0,"-",""),TEXT(ABS(Data!G89),"0.0000"))</f>
        <v>B12.9359</v>
      </c>
      <c r="G100" s="16" t="str">
        <f aca="false">CONCATENATE("C",IF(Data!A89&lt;0,"-",""),TEXT(ABS(Data!A89),"0.0000"))</f>
        <v>C87.0000</v>
      </c>
    </row>
    <row r="101" customFormat="false" ht="15" hidden="false" customHeight="false" outlineLevel="0" collapsed="false">
      <c r="A101" s="16" t="s">
        <v>147</v>
      </c>
      <c r="B101" s="16" t="s">
        <v>56</v>
      </c>
      <c r="C101" s="16" t="str">
        <f aca="false">CONCATENATE("X",IF(Data!D90&lt;0,"-",""),TEXT(ABS(Data!D90),"0.0000"))</f>
        <v>X0.0407</v>
      </c>
      <c r="D101" s="16" t="str">
        <f aca="false">CONCATENATE("Y",IF(Data!E90&lt;0,"-",""),TEXT(ABS(Data!E90),"0.0000"))</f>
        <v>Y1.1643</v>
      </c>
      <c r="E101" s="16" t="str">
        <f aca="false">CONCATENATE("Z",IF(Data!F90&lt;0,"-",""),TEXT(ABS(Data!F90),"0.0000"))</f>
        <v>Z-0.1321</v>
      </c>
      <c r="F101" s="16" t="str">
        <f aca="false">CONCATENATE("B",IF(Data!G90&lt;0,"-",""),TEXT(ABS(Data!G90),"0.0000"))</f>
        <v>B12.9459</v>
      </c>
      <c r="G101" s="16" t="str">
        <f aca="false">CONCATENATE("C",IF(Data!A90&lt;0,"-",""),TEXT(ABS(Data!A90),"0.0000"))</f>
        <v>C88.0000</v>
      </c>
    </row>
    <row r="102" customFormat="false" ht="15" hidden="false" customHeight="false" outlineLevel="0" collapsed="false">
      <c r="A102" s="16" t="s">
        <v>148</v>
      </c>
      <c r="B102" s="16" t="s">
        <v>56</v>
      </c>
      <c r="C102" s="16" t="str">
        <f aca="false">CONCATENATE("X",IF(Data!D91&lt;0,"-",""),TEXT(ABS(Data!D91),"0.0000"))</f>
        <v>X0.0203</v>
      </c>
      <c r="D102" s="16" t="str">
        <f aca="false">CONCATENATE("Y",IF(Data!E91&lt;0,"-",""),TEXT(ABS(Data!E91),"0.0000"))</f>
        <v>Y1.1648</v>
      </c>
      <c r="E102" s="16" t="str">
        <f aca="false">CONCATENATE("Z",IF(Data!F91&lt;0,"-",""),TEXT(ABS(Data!F91),"0.0000"))</f>
        <v>Z-0.1322</v>
      </c>
      <c r="F102" s="16" t="str">
        <f aca="false">CONCATENATE("B",IF(Data!G91&lt;0,"-",""),TEXT(ABS(Data!G91),"0.0000"))</f>
        <v>B12.9519</v>
      </c>
      <c r="G102" s="16" t="str">
        <f aca="false">CONCATENATE("C",IF(Data!A91&lt;0,"-",""),TEXT(ABS(Data!A91),"0.0000"))</f>
        <v>C89.0000</v>
      </c>
    </row>
    <row r="103" customFormat="false" ht="13.8" hidden="false" customHeight="false" outlineLevel="0" collapsed="false">
      <c r="A103" s="15" t="s">
        <v>149</v>
      </c>
      <c r="B103" s="15" t="s">
        <v>56</v>
      </c>
      <c r="C103" s="15" t="str">
        <f aca="false">CONCATENATE("X",IF(Data!D92&lt;0,"-",""),TEXT(ABS(Data!D92),"0.0000"))</f>
        <v>X0.0000</v>
      </c>
      <c r="D103" s="15" t="str">
        <f aca="false">CONCATENATE("Y",IF(Data!E92&lt;0,"-",""),TEXT(ABS(Data!E92),"0.0000"))</f>
        <v>Y1.1650</v>
      </c>
      <c r="E103" s="15" t="str">
        <f aca="false">CONCATENATE("Z",IF(Data!F92&lt;0,"-",""),TEXT(ABS(Data!F92),"0.0000"))</f>
        <v>Z-0.1323</v>
      </c>
      <c r="F103" s="15" t="str">
        <f aca="false">CONCATENATE("B",IF(Data!G92&lt;0,"-",""),TEXT(ABS(Data!G92),"0.0000"))</f>
        <v>B12.9539</v>
      </c>
      <c r="G103" s="15" t="str">
        <f aca="false">CONCATENATE("C",IF(Data!A92&lt;0,"-",""),TEXT(ABS(Data!A92),"0.0000"))</f>
        <v>C90.0000</v>
      </c>
    </row>
    <row r="104" customFormat="false" ht="15" hidden="false" customHeight="false" outlineLevel="0" collapsed="false">
      <c r="A104" s="16" t="s">
        <v>150</v>
      </c>
      <c r="B104" s="16" t="s">
        <v>56</v>
      </c>
      <c r="C104" s="16" t="str">
        <f aca="false">CONCATENATE("X",IF(Data!D93&lt;0,"-",""),TEXT(ABS(Data!D93),"0.0000"))</f>
        <v>X-0.0203</v>
      </c>
      <c r="D104" s="16" t="str">
        <f aca="false">CONCATENATE("Y",IF(Data!E93&lt;0,"-",""),TEXT(ABS(Data!E93),"0.0000"))</f>
        <v>Y1.1648</v>
      </c>
      <c r="E104" s="16" t="str">
        <f aca="false">CONCATENATE("Z",IF(Data!F93&lt;0,"-",""),TEXT(ABS(Data!F93),"0.0000"))</f>
        <v>Z-0.1322</v>
      </c>
      <c r="F104" s="16" t="str">
        <f aca="false">CONCATENATE("B",IF(Data!G93&lt;0,"-",""),TEXT(ABS(Data!G93),"0.0000"))</f>
        <v>B12.9519</v>
      </c>
      <c r="G104" s="16" t="str">
        <f aca="false">CONCATENATE("C",IF(Data!A93&lt;0,"-",""),TEXT(ABS(Data!A93),"0.0000"))</f>
        <v>C91.0000</v>
      </c>
    </row>
    <row r="105" customFormat="false" ht="15" hidden="false" customHeight="false" outlineLevel="0" collapsed="false">
      <c r="A105" s="16" t="s">
        <v>151</v>
      </c>
      <c r="B105" s="16" t="s">
        <v>56</v>
      </c>
      <c r="C105" s="16" t="str">
        <f aca="false">CONCATENATE("X",IF(Data!D94&lt;0,"-",""),TEXT(ABS(Data!D94),"0.0000"))</f>
        <v>X-0.0407</v>
      </c>
      <c r="D105" s="16" t="str">
        <f aca="false">CONCATENATE("Y",IF(Data!E94&lt;0,"-",""),TEXT(ABS(Data!E94),"0.0000"))</f>
        <v>Y1.1643</v>
      </c>
      <c r="E105" s="16" t="str">
        <f aca="false">CONCATENATE("Z",IF(Data!F94&lt;0,"-",""),TEXT(ABS(Data!F94),"0.0000"))</f>
        <v>Z-0.1321</v>
      </c>
      <c r="F105" s="16" t="str">
        <f aca="false">CONCATENATE("B",IF(Data!G94&lt;0,"-",""),TEXT(ABS(Data!G94),"0.0000"))</f>
        <v>B12.9459</v>
      </c>
      <c r="G105" s="16" t="str">
        <f aca="false">CONCATENATE("C",IF(Data!A94&lt;0,"-",""),TEXT(ABS(Data!A94),"0.0000"))</f>
        <v>C92.0000</v>
      </c>
    </row>
    <row r="106" customFormat="false" ht="15" hidden="false" customHeight="false" outlineLevel="0" collapsed="false">
      <c r="A106" s="16" t="s">
        <v>152</v>
      </c>
      <c r="B106" s="16" t="s">
        <v>56</v>
      </c>
      <c r="C106" s="16" t="str">
        <f aca="false">CONCATENATE("X",IF(Data!D95&lt;0,"-",""),TEXT(ABS(Data!D95),"0.0000"))</f>
        <v>X-0.0610</v>
      </c>
      <c r="D106" s="16" t="str">
        <f aca="false">CONCATENATE("Y",IF(Data!E95&lt;0,"-",""),TEXT(ABS(Data!E95),"0.0000"))</f>
        <v>Y1.1634</v>
      </c>
      <c r="E106" s="16" t="str">
        <f aca="false">CONCATENATE("Z",IF(Data!F95&lt;0,"-",""),TEXT(ABS(Data!F95),"0.0000"))</f>
        <v>Z-0.1319</v>
      </c>
      <c r="F106" s="16" t="str">
        <f aca="false">CONCATENATE("B",IF(Data!G95&lt;0,"-",""),TEXT(ABS(Data!G95),"0.0000"))</f>
        <v>B12.9359</v>
      </c>
      <c r="G106" s="16" t="str">
        <f aca="false">CONCATENATE("C",IF(Data!A95&lt;0,"-",""),TEXT(ABS(Data!A95),"0.0000"))</f>
        <v>C93.0000</v>
      </c>
    </row>
    <row r="107" customFormat="false" ht="15" hidden="false" customHeight="false" outlineLevel="0" collapsed="false">
      <c r="A107" s="16" t="s">
        <v>153</v>
      </c>
      <c r="B107" s="16" t="s">
        <v>56</v>
      </c>
      <c r="C107" s="16" t="str">
        <f aca="false">CONCATENATE("X",IF(Data!D96&lt;0,"-",""),TEXT(ABS(Data!D96),"0.0000"))</f>
        <v>X-0.0813</v>
      </c>
      <c r="D107" s="16" t="str">
        <f aca="false">CONCATENATE("Y",IF(Data!E96&lt;0,"-",""),TEXT(ABS(Data!E96),"0.0000"))</f>
        <v>Y1.1622</v>
      </c>
      <c r="E107" s="16" t="str">
        <f aca="false">CONCATENATE("Z",IF(Data!F96&lt;0,"-",""),TEXT(ABS(Data!F96),"0.0000"))</f>
        <v>Z-0.1316</v>
      </c>
      <c r="F107" s="16" t="str">
        <f aca="false">CONCATENATE("B",IF(Data!G96&lt;0,"-",""),TEXT(ABS(Data!G96),"0.0000"))</f>
        <v>B12.9218</v>
      </c>
      <c r="G107" s="16" t="str">
        <f aca="false">CONCATENATE("C",IF(Data!A96&lt;0,"-",""),TEXT(ABS(Data!A96),"0.0000"))</f>
        <v>C94.0000</v>
      </c>
    </row>
    <row r="108" customFormat="false" ht="15" hidden="false" customHeight="false" outlineLevel="0" collapsed="false">
      <c r="A108" s="16" t="s">
        <v>154</v>
      </c>
      <c r="B108" s="16" t="s">
        <v>56</v>
      </c>
      <c r="C108" s="16" t="str">
        <f aca="false">CONCATENATE("X",IF(Data!D97&lt;0,"-",""),TEXT(ABS(Data!D97),"0.0000"))</f>
        <v>X-0.1015</v>
      </c>
      <c r="D108" s="16" t="str">
        <f aca="false">CONCATENATE("Y",IF(Data!E97&lt;0,"-",""),TEXT(ABS(Data!E97),"0.0000"))</f>
        <v>Y1.1606</v>
      </c>
      <c r="E108" s="16" t="str">
        <f aca="false">CONCATENATE("Z",IF(Data!F97&lt;0,"-",""),TEXT(ABS(Data!F97),"0.0000"))</f>
        <v>Z-0.1312</v>
      </c>
      <c r="F108" s="16" t="str">
        <f aca="false">CONCATENATE("B",IF(Data!G97&lt;0,"-",""),TEXT(ABS(Data!G97),"0.0000"))</f>
        <v>B12.9038</v>
      </c>
      <c r="G108" s="16" t="str">
        <f aca="false">CONCATENATE("C",IF(Data!A97&lt;0,"-",""),TEXT(ABS(Data!A97),"0.0000"))</f>
        <v>C95.0000</v>
      </c>
    </row>
    <row r="109" customFormat="false" ht="15" hidden="false" customHeight="false" outlineLevel="0" collapsed="false">
      <c r="A109" s="16" t="s">
        <v>155</v>
      </c>
      <c r="B109" s="16" t="s">
        <v>56</v>
      </c>
      <c r="C109" s="16" t="str">
        <f aca="false">CONCATENATE("X",IF(Data!D98&lt;0,"-",""),TEXT(ABS(Data!D98),"0.0000"))</f>
        <v>X-0.1218</v>
      </c>
      <c r="D109" s="16" t="str">
        <f aca="false">CONCATENATE("Y",IF(Data!E98&lt;0,"-",""),TEXT(ABS(Data!E98),"0.0000"))</f>
        <v>Y1.1586</v>
      </c>
      <c r="E109" s="16" t="str">
        <f aca="false">CONCATENATE("Z",IF(Data!F98&lt;0,"-",""),TEXT(ABS(Data!F98),"0.0000"))</f>
        <v>Z-0.1308</v>
      </c>
      <c r="F109" s="16" t="str">
        <f aca="false">CONCATENATE("B",IF(Data!G98&lt;0,"-",""),TEXT(ABS(Data!G98),"0.0000"))</f>
        <v>B12.8818</v>
      </c>
      <c r="G109" s="16" t="str">
        <f aca="false">CONCATENATE("C",IF(Data!A98&lt;0,"-",""),TEXT(ABS(Data!A98),"0.0000"))</f>
        <v>C96.0000</v>
      </c>
    </row>
    <row r="110" customFormat="false" ht="15" hidden="false" customHeight="false" outlineLevel="0" collapsed="false">
      <c r="A110" s="16" t="s">
        <v>156</v>
      </c>
      <c r="B110" s="16" t="s">
        <v>56</v>
      </c>
      <c r="C110" s="16" t="str">
        <f aca="false">CONCATENATE("X",IF(Data!D99&lt;0,"-",""),TEXT(ABS(Data!D99),"0.0000"))</f>
        <v>X-0.1420</v>
      </c>
      <c r="D110" s="16" t="str">
        <f aca="false">CONCATENATE("Y",IF(Data!E99&lt;0,"-",""),TEXT(ABS(Data!E99),"0.0000"))</f>
        <v>Y1.1563</v>
      </c>
      <c r="E110" s="16" t="str">
        <f aca="false">CONCATENATE("Z",IF(Data!F99&lt;0,"-",""),TEXT(ABS(Data!F99),"0.0000"))</f>
        <v>Z-0.1303</v>
      </c>
      <c r="F110" s="16" t="str">
        <f aca="false">CONCATENATE("B",IF(Data!G99&lt;0,"-",""),TEXT(ABS(Data!G99),"0.0000"))</f>
        <v>B12.8557</v>
      </c>
      <c r="G110" s="16" t="str">
        <f aca="false">CONCATENATE("C",IF(Data!A99&lt;0,"-",""),TEXT(ABS(Data!A99),"0.0000"))</f>
        <v>C97.0000</v>
      </c>
    </row>
    <row r="111" customFormat="false" ht="15" hidden="false" customHeight="false" outlineLevel="0" collapsed="false">
      <c r="A111" s="16" t="s">
        <v>157</v>
      </c>
      <c r="B111" s="16" t="s">
        <v>56</v>
      </c>
      <c r="C111" s="16" t="str">
        <f aca="false">CONCATENATE("X",IF(Data!D100&lt;0,"-",""),TEXT(ABS(Data!D100),"0.0000"))</f>
        <v>X-0.1621</v>
      </c>
      <c r="D111" s="16" t="str">
        <f aca="false">CONCATENATE("Y",IF(Data!E100&lt;0,"-",""),TEXT(ABS(Data!E100),"0.0000"))</f>
        <v>Y1.1537</v>
      </c>
      <c r="E111" s="16" t="str">
        <f aca="false">CONCATENATE("Z",IF(Data!F100&lt;0,"-",""),TEXT(ABS(Data!F100),"0.0000"))</f>
        <v>Z-0.1297</v>
      </c>
      <c r="F111" s="16" t="str">
        <f aca="false">CONCATENATE("B",IF(Data!G100&lt;0,"-",""),TEXT(ABS(Data!G100),"0.0000"))</f>
        <v>B12.8257</v>
      </c>
      <c r="G111" s="16" t="str">
        <f aca="false">CONCATENATE("C",IF(Data!A100&lt;0,"-",""),TEXT(ABS(Data!A100),"0.0000"))</f>
        <v>C98.0000</v>
      </c>
    </row>
    <row r="112" customFormat="false" ht="15" hidden="false" customHeight="false" outlineLevel="0" collapsed="false">
      <c r="A112" s="16" t="s">
        <v>158</v>
      </c>
      <c r="B112" s="16" t="s">
        <v>56</v>
      </c>
      <c r="C112" s="16" t="str">
        <f aca="false">CONCATENATE("X",IF(Data!D101&lt;0,"-",""),TEXT(ABS(Data!D101),"0.0000"))</f>
        <v>X-0.1822</v>
      </c>
      <c r="D112" s="16" t="str">
        <f aca="false">CONCATENATE("Y",IF(Data!E101&lt;0,"-",""),TEXT(ABS(Data!E101),"0.0000"))</f>
        <v>Y1.1507</v>
      </c>
      <c r="E112" s="16" t="str">
        <f aca="false">CONCATENATE("Z",IF(Data!F101&lt;0,"-",""),TEXT(ABS(Data!F101),"0.0000"))</f>
        <v>Z-0.1290</v>
      </c>
      <c r="F112" s="16" t="str">
        <f aca="false">CONCATENATE("B",IF(Data!G101&lt;0,"-",""),TEXT(ABS(Data!G101),"0.0000"))</f>
        <v>B12.7917</v>
      </c>
      <c r="G112" s="16" t="str">
        <f aca="false">CONCATENATE("C",IF(Data!A101&lt;0,"-",""),TEXT(ABS(Data!A101),"0.0000"))</f>
        <v>C99.0000</v>
      </c>
    </row>
    <row r="113" customFormat="false" ht="15" hidden="false" customHeight="false" outlineLevel="0" collapsed="false">
      <c r="A113" s="16" t="s">
        <v>159</v>
      </c>
      <c r="B113" s="16" t="s">
        <v>56</v>
      </c>
      <c r="C113" s="16" t="str">
        <f aca="false">CONCATENATE("X",IF(Data!D102&lt;0,"-",""),TEXT(ABS(Data!D102),"0.0000"))</f>
        <v>X-0.2023</v>
      </c>
      <c r="D113" s="16" t="str">
        <f aca="false">CONCATENATE("Y",IF(Data!E102&lt;0,"-",""),TEXT(ABS(Data!E102),"0.0000"))</f>
        <v>Y1.1473</v>
      </c>
      <c r="E113" s="16" t="str">
        <f aca="false">CONCATENATE("Z",IF(Data!F102&lt;0,"-",""),TEXT(ABS(Data!F102),"0.0000"))</f>
        <v>Z-0.1282</v>
      </c>
      <c r="F113" s="16" t="str">
        <f aca="false">CONCATENATE("B",IF(Data!G102&lt;0,"-",""),TEXT(ABS(Data!G102),"0.0000"))</f>
        <v>B12.7538</v>
      </c>
      <c r="G113" s="16" t="str">
        <f aca="false">CONCATENATE("C",IF(Data!A102&lt;0,"-",""),TEXT(ABS(Data!A102),"0.0000"))</f>
        <v>C100.0000</v>
      </c>
    </row>
    <row r="114" customFormat="false" ht="15" hidden="false" customHeight="false" outlineLevel="0" collapsed="false">
      <c r="A114" s="16" t="s">
        <v>160</v>
      </c>
      <c r="B114" s="16" t="s">
        <v>56</v>
      </c>
      <c r="C114" s="16" t="str">
        <f aca="false">CONCATENATE("X",IF(Data!D103&lt;0,"-",""),TEXT(ABS(Data!D103),"0.0000"))</f>
        <v>X-0.2223</v>
      </c>
      <c r="D114" s="16" t="str">
        <f aca="false">CONCATENATE("Y",IF(Data!E103&lt;0,"-",""),TEXT(ABS(Data!E103),"0.0000"))</f>
        <v>Y1.1436</v>
      </c>
      <c r="E114" s="16" t="str">
        <f aca="false">CONCATENATE("Z",IF(Data!F103&lt;0,"-",""),TEXT(ABS(Data!F103),"0.0000"))</f>
        <v>Z-0.1274</v>
      </c>
      <c r="F114" s="16" t="str">
        <f aca="false">CONCATENATE("B",IF(Data!G103&lt;0,"-",""),TEXT(ABS(Data!G103),"0.0000"))</f>
        <v>B12.7119</v>
      </c>
      <c r="G114" s="16" t="str">
        <f aca="false">CONCATENATE("C",IF(Data!A103&lt;0,"-",""),TEXT(ABS(Data!A103),"0.0000"))</f>
        <v>C101.0000</v>
      </c>
    </row>
    <row r="115" customFormat="false" ht="15" hidden="false" customHeight="false" outlineLevel="0" collapsed="false">
      <c r="A115" s="16" t="s">
        <v>161</v>
      </c>
      <c r="B115" s="16" t="s">
        <v>56</v>
      </c>
      <c r="C115" s="16" t="str">
        <f aca="false">CONCATENATE("X",IF(Data!D104&lt;0,"-",""),TEXT(ABS(Data!D104),"0.0000"))</f>
        <v>X-0.2422</v>
      </c>
      <c r="D115" s="16" t="str">
        <f aca="false">CONCATENATE("Y",IF(Data!E104&lt;0,"-",""),TEXT(ABS(Data!E104),"0.0000"))</f>
        <v>Y1.1395</v>
      </c>
      <c r="E115" s="16" t="str">
        <f aca="false">CONCATENATE("Z",IF(Data!F104&lt;0,"-",""),TEXT(ABS(Data!F104),"0.0000"))</f>
        <v>Z-0.1265</v>
      </c>
      <c r="F115" s="16" t="str">
        <f aca="false">CONCATENATE("B",IF(Data!G104&lt;0,"-",""),TEXT(ABS(Data!G104),"0.0000"))</f>
        <v>B12.6661</v>
      </c>
      <c r="G115" s="16" t="str">
        <f aca="false">CONCATENATE("C",IF(Data!A104&lt;0,"-",""),TEXT(ABS(Data!A104),"0.0000"))</f>
        <v>C102.0000</v>
      </c>
    </row>
    <row r="116" customFormat="false" ht="15" hidden="false" customHeight="false" outlineLevel="0" collapsed="false">
      <c r="A116" s="16" t="s">
        <v>162</v>
      </c>
      <c r="B116" s="16" t="s">
        <v>56</v>
      </c>
      <c r="C116" s="16" t="str">
        <f aca="false">CONCATENATE("X",IF(Data!D105&lt;0,"-",""),TEXT(ABS(Data!D105),"0.0000"))</f>
        <v>X-0.2621</v>
      </c>
      <c r="D116" s="16" t="str">
        <f aca="false">CONCATENATE("Y",IF(Data!E105&lt;0,"-",""),TEXT(ABS(Data!E105),"0.0000"))</f>
        <v>Y1.1351</v>
      </c>
      <c r="E116" s="16" t="str">
        <f aca="false">CONCATENATE("Z",IF(Data!F105&lt;0,"-",""),TEXT(ABS(Data!F105),"0.0000"))</f>
        <v>Z-0.1255</v>
      </c>
      <c r="F116" s="16" t="str">
        <f aca="false">CONCATENATE("B",IF(Data!G105&lt;0,"-",""),TEXT(ABS(Data!G105),"0.0000"))</f>
        <v>B12.6164</v>
      </c>
      <c r="G116" s="16" t="str">
        <f aca="false">CONCATENATE("C",IF(Data!A105&lt;0,"-",""),TEXT(ABS(Data!A105),"0.0000"))</f>
        <v>C103.0000</v>
      </c>
    </row>
    <row r="117" customFormat="false" ht="15" hidden="false" customHeight="false" outlineLevel="0" collapsed="false">
      <c r="A117" s="16" t="s">
        <v>163</v>
      </c>
      <c r="B117" s="16" t="s">
        <v>56</v>
      </c>
      <c r="C117" s="16" t="str">
        <f aca="false">CONCATENATE("X",IF(Data!D106&lt;0,"-",""),TEXT(ABS(Data!D106),"0.0000"))</f>
        <v>X-0.2818</v>
      </c>
      <c r="D117" s="16" t="str">
        <f aca="false">CONCATENATE("Y",IF(Data!E106&lt;0,"-",""),TEXT(ABS(Data!E106),"0.0000"))</f>
        <v>Y1.1304</v>
      </c>
      <c r="E117" s="16" t="str">
        <f aca="false">CONCATENATE("Z",IF(Data!F106&lt;0,"-",""),TEXT(ABS(Data!F106),"0.0000"))</f>
        <v>Z-0.1244</v>
      </c>
      <c r="F117" s="16" t="str">
        <f aca="false">CONCATENATE("B",IF(Data!G106&lt;0,"-",""),TEXT(ABS(Data!G106),"0.0000"))</f>
        <v>B12.5628</v>
      </c>
      <c r="G117" s="16" t="str">
        <f aca="false">CONCATENATE("C",IF(Data!A106&lt;0,"-",""),TEXT(ABS(Data!A106),"0.0000"))</f>
        <v>C104.0000</v>
      </c>
    </row>
    <row r="118" customFormat="false" ht="15" hidden="false" customHeight="false" outlineLevel="0" collapsed="false">
      <c r="A118" s="16" t="s">
        <v>164</v>
      </c>
      <c r="B118" s="16" t="s">
        <v>56</v>
      </c>
      <c r="C118" s="16" t="str">
        <f aca="false">CONCATENATE("X",IF(Data!D107&lt;0,"-",""),TEXT(ABS(Data!D107),"0.0000"))</f>
        <v>X-0.3015</v>
      </c>
      <c r="D118" s="16" t="str">
        <f aca="false">CONCATENATE("Y",IF(Data!E107&lt;0,"-",""),TEXT(ABS(Data!E107),"0.0000"))</f>
        <v>Y1.1253</v>
      </c>
      <c r="E118" s="16" t="str">
        <f aca="false">CONCATENATE("Z",IF(Data!F107&lt;0,"-",""),TEXT(ABS(Data!F107),"0.0000"))</f>
        <v>Z-0.1233</v>
      </c>
      <c r="F118" s="16" t="str">
        <f aca="false">CONCATENATE("B",IF(Data!G107&lt;0,"-",""),TEXT(ABS(Data!G107),"0.0000"))</f>
        <v>B12.5053</v>
      </c>
      <c r="G118" s="16" t="str">
        <f aca="false">CONCATENATE("C",IF(Data!A107&lt;0,"-",""),TEXT(ABS(Data!A107),"0.0000"))</f>
        <v>C105.0000</v>
      </c>
    </row>
    <row r="119" customFormat="false" ht="15" hidden="false" customHeight="false" outlineLevel="0" collapsed="false">
      <c r="A119" s="16" t="s">
        <v>165</v>
      </c>
      <c r="B119" s="16" t="s">
        <v>56</v>
      </c>
      <c r="C119" s="16" t="str">
        <f aca="false">CONCATENATE("X",IF(Data!D108&lt;0,"-",""),TEXT(ABS(Data!D108),"0.0000"))</f>
        <v>X-0.3211</v>
      </c>
      <c r="D119" s="16" t="str">
        <f aca="false">CONCATENATE("Y",IF(Data!E108&lt;0,"-",""),TEXT(ABS(Data!E108),"0.0000"))</f>
        <v>Y1.1199</v>
      </c>
      <c r="E119" s="16" t="str">
        <f aca="false">CONCATENATE("Z",IF(Data!F108&lt;0,"-",""),TEXT(ABS(Data!F108),"0.0000"))</f>
        <v>Z-0.1221</v>
      </c>
      <c r="F119" s="16" t="str">
        <f aca="false">CONCATENATE("B",IF(Data!G108&lt;0,"-",""),TEXT(ABS(Data!G108),"0.0000"))</f>
        <v>B12.4439</v>
      </c>
      <c r="G119" s="16" t="str">
        <f aca="false">CONCATENATE("C",IF(Data!A108&lt;0,"-",""),TEXT(ABS(Data!A108),"0.0000"))</f>
        <v>C106.0000</v>
      </c>
    </row>
    <row r="120" customFormat="false" ht="15" hidden="false" customHeight="false" outlineLevel="0" collapsed="false">
      <c r="A120" s="16" t="s">
        <v>166</v>
      </c>
      <c r="B120" s="16" t="s">
        <v>56</v>
      </c>
      <c r="C120" s="16" t="str">
        <f aca="false">CONCATENATE("X",IF(Data!D109&lt;0,"-",""),TEXT(ABS(Data!D109),"0.0000"))</f>
        <v>X-0.3406</v>
      </c>
      <c r="D120" s="16" t="str">
        <f aca="false">CONCATENATE("Y",IF(Data!E109&lt;0,"-",""),TEXT(ABS(Data!E109),"0.0000"))</f>
        <v>Y1.1141</v>
      </c>
      <c r="E120" s="16" t="str">
        <f aca="false">CONCATENATE("Z",IF(Data!F109&lt;0,"-",""),TEXT(ABS(Data!F109),"0.0000"))</f>
        <v>Z-0.1208</v>
      </c>
      <c r="F120" s="16" t="str">
        <f aca="false">CONCATENATE("B",IF(Data!G109&lt;0,"-",""),TEXT(ABS(Data!G109),"0.0000"))</f>
        <v>B12.3787</v>
      </c>
      <c r="G120" s="16" t="str">
        <f aca="false">CONCATENATE("C",IF(Data!A109&lt;0,"-",""),TEXT(ABS(Data!A109),"0.0000"))</f>
        <v>C107.0000</v>
      </c>
    </row>
    <row r="121" customFormat="false" ht="15" hidden="false" customHeight="false" outlineLevel="0" collapsed="false">
      <c r="A121" s="16" t="s">
        <v>167</v>
      </c>
      <c r="B121" s="16" t="s">
        <v>56</v>
      </c>
      <c r="C121" s="16" t="str">
        <f aca="false">CONCATENATE("X",IF(Data!D110&lt;0,"-",""),TEXT(ABS(Data!D110),"0.0000"))</f>
        <v>X-0.3600</v>
      </c>
      <c r="D121" s="16" t="str">
        <f aca="false">CONCATENATE("Y",IF(Data!E110&lt;0,"-",""),TEXT(ABS(Data!E110),"0.0000"))</f>
        <v>Y1.1080</v>
      </c>
      <c r="E121" s="16" t="str">
        <f aca="false">CONCATENATE("Z",IF(Data!F110&lt;0,"-",""),TEXT(ABS(Data!F110),"0.0000"))</f>
        <v>Z-0.1195</v>
      </c>
      <c r="F121" s="16" t="str">
        <f aca="false">CONCATENATE("B",IF(Data!G110&lt;0,"-",""),TEXT(ABS(Data!G110),"0.0000"))</f>
        <v>B12.3097</v>
      </c>
      <c r="G121" s="16" t="str">
        <f aca="false">CONCATENATE("C",IF(Data!A110&lt;0,"-",""),TEXT(ABS(Data!A110),"0.0000"))</f>
        <v>C108.0000</v>
      </c>
    </row>
    <row r="122" customFormat="false" ht="15" hidden="false" customHeight="false" outlineLevel="0" collapsed="false">
      <c r="A122" s="16" t="s">
        <v>168</v>
      </c>
      <c r="B122" s="16" t="s">
        <v>56</v>
      </c>
      <c r="C122" s="16" t="str">
        <f aca="false">CONCATENATE("X",IF(Data!D111&lt;0,"-",""),TEXT(ABS(Data!D111),"0.0000"))</f>
        <v>X-0.3793</v>
      </c>
      <c r="D122" s="16" t="str">
        <f aca="false">CONCATENATE("Y",IF(Data!E111&lt;0,"-",""),TEXT(ABS(Data!E111),"0.0000"))</f>
        <v>Y1.1015</v>
      </c>
      <c r="E122" s="16" t="str">
        <f aca="false">CONCATENATE("Z",IF(Data!F111&lt;0,"-",""),TEXT(ABS(Data!F111),"0.0000"))</f>
        <v>Z-0.1181</v>
      </c>
      <c r="F122" s="16" t="str">
        <f aca="false">CONCATENATE("B",IF(Data!G111&lt;0,"-",""),TEXT(ABS(Data!G111),"0.0000"))</f>
        <v>B12.2369</v>
      </c>
      <c r="G122" s="16" t="str">
        <f aca="false">CONCATENATE("C",IF(Data!A111&lt;0,"-",""),TEXT(ABS(Data!A111),"0.0000"))</f>
        <v>C109.0000</v>
      </c>
    </row>
    <row r="123" customFormat="false" ht="15" hidden="false" customHeight="false" outlineLevel="0" collapsed="false">
      <c r="A123" s="16" t="s">
        <v>169</v>
      </c>
      <c r="B123" s="16" t="s">
        <v>56</v>
      </c>
      <c r="C123" s="16" t="str">
        <f aca="false">CONCATENATE("X",IF(Data!D112&lt;0,"-",""),TEXT(ABS(Data!D112),"0.0000"))</f>
        <v>X-0.3985</v>
      </c>
      <c r="D123" s="16" t="str">
        <f aca="false">CONCATENATE("Y",IF(Data!E112&lt;0,"-",""),TEXT(ABS(Data!E112),"0.0000"))</f>
        <v>Y1.0947</v>
      </c>
      <c r="E123" s="16" t="str">
        <f aca="false">CONCATENATE("Z",IF(Data!F112&lt;0,"-",""),TEXT(ABS(Data!F112),"0.0000"))</f>
        <v>Z-0.1166</v>
      </c>
      <c r="F123" s="16" t="str">
        <f aca="false">CONCATENATE("B",IF(Data!G112&lt;0,"-",""),TEXT(ABS(Data!G112),"0.0000"))</f>
        <v>B12.1604</v>
      </c>
      <c r="G123" s="16" t="str">
        <f aca="false">CONCATENATE("C",IF(Data!A112&lt;0,"-",""),TEXT(ABS(Data!A112),"0.0000"))</f>
        <v>C110.0000</v>
      </c>
    </row>
    <row r="124" customFormat="false" ht="15" hidden="false" customHeight="false" outlineLevel="0" collapsed="false">
      <c r="A124" s="16" t="s">
        <v>170</v>
      </c>
      <c r="B124" s="16" t="s">
        <v>56</v>
      </c>
      <c r="C124" s="16" t="str">
        <f aca="false">CONCATENATE("X",IF(Data!D113&lt;0,"-",""),TEXT(ABS(Data!D113),"0.0000"))</f>
        <v>X-0.4175</v>
      </c>
      <c r="D124" s="16" t="str">
        <f aca="false">CONCATENATE("Y",IF(Data!E113&lt;0,"-",""),TEXT(ABS(Data!E113),"0.0000"))</f>
        <v>Y1.0876</v>
      </c>
      <c r="E124" s="16" t="str">
        <f aca="false">CONCATENATE("Z",IF(Data!F113&lt;0,"-",""),TEXT(ABS(Data!F113),"0.0000"))</f>
        <v>Z-0.1151</v>
      </c>
      <c r="F124" s="16" t="str">
        <f aca="false">CONCATENATE("B",IF(Data!G113&lt;0,"-",""),TEXT(ABS(Data!G113),"0.0000"))</f>
        <v>B12.0801</v>
      </c>
      <c r="G124" s="16" t="str">
        <f aca="false">CONCATENATE("C",IF(Data!A113&lt;0,"-",""),TEXT(ABS(Data!A113),"0.0000"))</f>
        <v>C111.0000</v>
      </c>
    </row>
    <row r="125" customFormat="false" ht="15" hidden="false" customHeight="false" outlineLevel="0" collapsed="false">
      <c r="A125" s="16" t="s">
        <v>171</v>
      </c>
      <c r="B125" s="16" t="s">
        <v>56</v>
      </c>
      <c r="C125" s="16" t="str">
        <f aca="false">CONCATENATE("X",IF(Data!D114&lt;0,"-",""),TEXT(ABS(Data!D114),"0.0000"))</f>
        <v>X-0.4364</v>
      </c>
      <c r="D125" s="16" t="str">
        <f aca="false">CONCATENATE("Y",IF(Data!E114&lt;0,"-",""),TEXT(ABS(Data!E114),"0.0000"))</f>
        <v>Y1.0802</v>
      </c>
      <c r="E125" s="16" t="str">
        <f aca="false">CONCATENATE("Z",IF(Data!F114&lt;0,"-",""),TEXT(ABS(Data!F114),"0.0000"))</f>
        <v>Z-0.1135</v>
      </c>
      <c r="F125" s="16" t="str">
        <f aca="false">CONCATENATE("B",IF(Data!G114&lt;0,"-",""),TEXT(ABS(Data!G114),"0.0000"))</f>
        <v>B11.9961</v>
      </c>
      <c r="G125" s="16" t="str">
        <f aca="false">CONCATENATE("C",IF(Data!A114&lt;0,"-",""),TEXT(ABS(Data!A114),"0.0000"))</f>
        <v>C112.0000</v>
      </c>
    </row>
    <row r="126" customFormat="false" ht="15" hidden="false" customHeight="false" outlineLevel="0" collapsed="false">
      <c r="A126" s="16" t="s">
        <v>172</v>
      </c>
      <c r="B126" s="16" t="s">
        <v>56</v>
      </c>
      <c r="C126" s="16" t="str">
        <f aca="false">CONCATENATE("X",IF(Data!D115&lt;0,"-",""),TEXT(ABS(Data!D115),"0.0000"))</f>
        <v>X-0.4552</v>
      </c>
      <c r="D126" s="16" t="str">
        <f aca="false">CONCATENATE("Y",IF(Data!E115&lt;0,"-",""),TEXT(ABS(Data!E115),"0.0000"))</f>
        <v>Y1.0724</v>
      </c>
      <c r="E126" s="16" t="str">
        <f aca="false">CONCATENATE("Z",IF(Data!F115&lt;0,"-",""),TEXT(ABS(Data!F115),"0.0000"))</f>
        <v>Z-0.1118</v>
      </c>
      <c r="F126" s="16" t="str">
        <f aca="false">CONCATENATE("B",IF(Data!G115&lt;0,"-",""),TEXT(ABS(Data!G115),"0.0000"))</f>
        <v>B11.9084</v>
      </c>
      <c r="G126" s="16" t="str">
        <f aca="false">CONCATENATE("C",IF(Data!A115&lt;0,"-",""),TEXT(ABS(Data!A115),"0.0000"))</f>
        <v>C113.0000</v>
      </c>
    </row>
    <row r="127" customFormat="false" ht="15" hidden="false" customHeight="false" outlineLevel="0" collapsed="false">
      <c r="A127" s="16" t="s">
        <v>173</v>
      </c>
      <c r="B127" s="16" t="s">
        <v>56</v>
      </c>
      <c r="C127" s="16" t="str">
        <f aca="false">CONCATENATE("X",IF(Data!D116&lt;0,"-",""),TEXT(ABS(Data!D116),"0.0000"))</f>
        <v>X-0.4738</v>
      </c>
      <c r="D127" s="16" t="str">
        <f aca="false">CONCATENATE("Y",IF(Data!E116&lt;0,"-",""),TEXT(ABS(Data!E116),"0.0000"))</f>
        <v>Y1.0643</v>
      </c>
      <c r="E127" s="16" t="str">
        <f aca="false">CONCATENATE("Z",IF(Data!F116&lt;0,"-",""),TEXT(ABS(Data!F116),"0.0000"))</f>
        <v>Z-0.1101</v>
      </c>
      <c r="F127" s="16" t="str">
        <f aca="false">CONCATENATE("B",IF(Data!G116&lt;0,"-",""),TEXT(ABS(Data!G116),"0.0000"))</f>
        <v>B11.8171</v>
      </c>
      <c r="G127" s="16" t="str">
        <f aca="false">CONCATENATE("C",IF(Data!A116&lt;0,"-",""),TEXT(ABS(Data!A116),"0.0000"))</f>
        <v>C114.0000</v>
      </c>
    </row>
    <row r="128" customFormat="false" ht="15" hidden="false" customHeight="false" outlineLevel="0" collapsed="false">
      <c r="A128" s="16" t="s">
        <v>174</v>
      </c>
      <c r="B128" s="16" t="s">
        <v>56</v>
      </c>
      <c r="C128" s="16" t="str">
        <f aca="false">CONCATENATE("X",IF(Data!D117&lt;0,"-",""),TEXT(ABS(Data!D117),"0.0000"))</f>
        <v>X-0.4924</v>
      </c>
      <c r="D128" s="16" t="str">
        <f aca="false">CONCATENATE("Y",IF(Data!E117&lt;0,"-",""),TEXT(ABS(Data!E117),"0.0000"))</f>
        <v>Y1.0558</v>
      </c>
      <c r="E128" s="16" t="str">
        <f aca="false">CONCATENATE("Z",IF(Data!F117&lt;0,"-",""),TEXT(ABS(Data!F117),"0.0000"))</f>
        <v>Z-0.1084</v>
      </c>
      <c r="F128" s="16" t="str">
        <f aca="false">CONCATENATE("B",IF(Data!G117&lt;0,"-",""),TEXT(ABS(Data!G117),"0.0000"))</f>
        <v>B11.7221</v>
      </c>
      <c r="G128" s="16" t="str">
        <f aca="false">CONCATENATE("C",IF(Data!A117&lt;0,"-",""),TEXT(ABS(Data!A117),"0.0000"))</f>
        <v>C115.0000</v>
      </c>
    </row>
    <row r="129" customFormat="false" ht="15" hidden="false" customHeight="false" outlineLevel="0" collapsed="false">
      <c r="A129" s="16" t="s">
        <v>175</v>
      </c>
      <c r="B129" s="16" t="s">
        <v>56</v>
      </c>
      <c r="C129" s="16" t="str">
        <f aca="false">CONCATENATE("X",IF(Data!D118&lt;0,"-",""),TEXT(ABS(Data!D118),"0.0000"))</f>
        <v>X-0.5107</v>
      </c>
      <c r="D129" s="16" t="str">
        <f aca="false">CONCATENATE("Y",IF(Data!E118&lt;0,"-",""),TEXT(ABS(Data!E118),"0.0000"))</f>
        <v>Y1.0471</v>
      </c>
      <c r="E129" s="16" t="str">
        <f aca="false">CONCATENATE("Z",IF(Data!F118&lt;0,"-",""),TEXT(ABS(Data!F118),"0.0000"))</f>
        <v>Z-0.1066</v>
      </c>
      <c r="F129" s="16" t="str">
        <f aca="false">CONCATENATE("B",IF(Data!G118&lt;0,"-",""),TEXT(ABS(Data!G118),"0.0000"))</f>
        <v>B11.6236</v>
      </c>
      <c r="G129" s="16" t="str">
        <f aca="false">CONCATENATE("C",IF(Data!A118&lt;0,"-",""),TEXT(ABS(Data!A118),"0.0000"))</f>
        <v>C116.0000</v>
      </c>
    </row>
    <row r="130" customFormat="false" ht="15" hidden="false" customHeight="false" outlineLevel="0" collapsed="false">
      <c r="A130" s="16" t="s">
        <v>176</v>
      </c>
      <c r="B130" s="16" t="s">
        <v>56</v>
      </c>
      <c r="C130" s="16" t="str">
        <f aca="false">CONCATENATE("X",IF(Data!D119&lt;0,"-",""),TEXT(ABS(Data!D119),"0.0000"))</f>
        <v>X-0.5289</v>
      </c>
      <c r="D130" s="16" t="str">
        <f aca="false">CONCATENATE("Y",IF(Data!E119&lt;0,"-",""),TEXT(ABS(Data!E119),"0.0000"))</f>
        <v>Y1.0380</v>
      </c>
      <c r="E130" s="16" t="str">
        <f aca="false">CONCATENATE("Z",IF(Data!F119&lt;0,"-",""),TEXT(ABS(Data!F119),"0.0000"))</f>
        <v>Z-0.1047</v>
      </c>
      <c r="F130" s="16" t="str">
        <f aca="false">CONCATENATE("B",IF(Data!G119&lt;0,"-",""),TEXT(ABS(Data!G119),"0.0000"))</f>
        <v>B11.5215</v>
      </c>
      <c r="G130" s="16" t="str">
        <f aca="false">CONCATENATE("C",IF(Data!A119&lt;0,"-",""),TEXT(ABS(Data!A119),"0.0000"))</f>
        <v>C117.0000</v>
      </c>
    </row>
    <row r="131" customFormat="false" ht="15" hidden="false" customHeight="false" outlineLevel="0" collapsed="false">
      <c r="A131" s="16" t="s">
        <v>177</v>
      </c>
      <c r="B131" s="16" t="s">
        <v>56</v>
      </c>
      <c r="C131" s="16" t="str">
        <f aca="false">CONCATENATE("X",IF(Data!D120&lt;0,"-",""),TEXT(ABS(Data!D120),"0.0000"))</f>
        <v>X-0.5469</v>
      </c>
      <c r="D131" s="16" t="str">
        <f aca="false">CONCATENATE("Y",IF(Data!E120&lt;0,"-",""),TEXT(ABS(Data!E120),"0.0000"))</f>
        <v>Y1.0286</v>
      </c>
      <c r="E131" s="16" t="str">
        <f aca="false">CONCATENATE("Z",IF(Data!F120&lt;0,"-",""),TEXT(ABS(Data!F120),"0.0000"))</f>
        <v>Z-0.1028</v>
      </c>
      <c r="F131" s="16" t="str">
        <f aca="false">CONCATENATE("B",IF(Data!G120&lt;0,"-",""),TEXT(ABS(Data!G120),"0.0000"))</f>
        <v>B11.4158</v>
      </c>
      <c r="G131" s="16" t="str">
        <f aca="false">CONCATENATE("C",IF(Data!A120&lt;0,"-",""),TEXT(ABS(Data!A120),"0.0000"))</f>
        <v>C118.0000</v>
      </c>
    </row>
    <row r="132" customFormat="false" ht="15" hidden="false" customHeight="false" outlineLevel="0" collapsed="false">
      <c r="A132" s="16" t="s">
        <v>178</v>
      </c>
      <c r="B132" s="16" t="s">
        <v>56</v>
      </c>
      <c r="C132" s="16" t="str">
        <f aca="false">CONCATENATE("X",IF(Data!D121&lt;0,"-",""),TEXT(ABS(Data!D121),"0.0000"))</f>
        <v>X-0.5648</v>
      </c>
      <c r="D132" s="16" t="str">
        <f aca="false">CONCATENATE("Y",IF(Data!E121&lt;0,"-",""),TEXT(ABS(Data!E121),"0.0000"))</f>
        <v>Y1.0189</v>
      </c>
      <c r="E132" s="16" t="str">
        <f aca="false">CONCATENATE("Z",IF(Data!F121&lt;0,"-",""),TEXT(ABS(Data!F121),"0.0000"))</f>
        <v>Z-0.1009</v>
      </c>
      <c r="F132" s="16" t="str">
        <f aca="false">CONCATENATE("B",IF(Data!G121&lt;0,"-",""),TEXT(ABS(Data!G121),"0.0000"))</f>
        <v>B11.3067</v>
      </c>
      <c r="G132" s="16" t="str">
        <f aca="false">CONCATENATE("C",IF(Data!A121&lt;0,"-",""),TEXT(ABS(Data!A121),"0.0000"))</f>
        <v>C119.0000</v>
      </c>
    </row>
    <row r="133" customFormat="false" ht="15" hidden="false" customHeight="false" outlineLevel="0" collapsed="false">
      <c r="A133" s="16" t="s">
        <v>179</v>
      </c>
      <c r="B133" s="16" t="s">
        <v>56</v>
      </c>
      <c r="C133" s="16" t="str">
        <f aca="false">CONCATENATE("X",IF(Data!D122&lt;0,"-",""),TEXT(ABS(Data!D122),"0.0000"))</f>
        <v>X-0.5825</v>
      </c>
      <c r="D133" s="16" t="str">
        <f aca="false">CONCATENATE("Y",IF(Data!E122&lt;0,"-",""),TEXT(ABS(Data!E122),"0.0000"))</f>
        <v>Y1.0089</v>
      </c>
      <c r="E133" s="16" t="str">
        <f aca="false">CONCATENATE("Z",IF(Data!F122&lt;0,"-",""),TEXT(ABS(Data!F122),"0.0000"))</f>
        <v>Z-0.0989</v>
      </c>
      <c r="F133" s="16" t="str">
        <f aca="false">CONCATENATE("B",IF(Data!G122&lt;0,"-",""),TEXT(ABS(Data!G122),"0.0000"))</f>
        <v>B11.1942</v>
      </c>
      <c r="G133" s="16" t="str">
        <f aca="false">CONCATENATE("C",IF(Data!A122&lt;0,"-",""),TEXT(ABS(Data!A122),"0.0000"))</f>
        <v>C120.0000</v>
      </c>
    </row>
    <row r="134" customFormat="false" ht="15" hidden="false" customHeight="false" outlineLevel="0" collapsed="false">
      <c r="A134" s="16" t="s">
        <v>180</v>
      </c>
      <c r="B134" s="16" t="s">
        <v>56</v>
      </c>
      <c r="C134" s="16" t="str">
        <f aca="false">CONCATENATE("X",IF(Data!D123&lt;0,"-",""),TEXT(ABS(Data!D123),"0.0000"))</f>
        <v>X-0.6000</v>
      </c>
      <c r="D134" s="16" t="str">
        <f aca="false">CONCATENATE("Y",IF(Data!E123&lt;0,"-",""),TEXT(ABS(Data!E123),"0.0000"))</f>
        <v>Y0.9986</v>
      </c>
      <c r="E134" s="16" t="str">
        <f aca="false">CONCATENATE("Z",IF(Data!F123&lt;0,"-",""),TEXT(ABS(Data!F123),"0.0000"))</f>
        <v>Z-0.0968</v>
      </c>
      <c r="F134" s="16" t="str">
        <f aca="false">CONCATENATE("B",IF(Data!G123&lt;0,"-",""),TEXT(ABS(Data!G123),"0.0000"))</f>
        <v>B11.0782</v>
      </c>
      <c r="G134" s="16" t="str">
        <f aca="false">CONCATENATE("C",IF(Data!A123&lt;0,"-",""),TEXT(ABS(Data!A123),"0.0000"))</f>
        <v>C121.0000</v>
      </c>
    </row>
    <row r="135" customFormat="false" ht="15" hidden="false" customHeight="false" outlineLevel="0" collapsed="false">
      <c r="A135" s="16" t="s">
        <v>181</v>
      </c>
      <c r="B135" s="16" t="s">
        <v>56</v>
      </c>
      <c r="C135" s="16" t="str">
        <f aca="false">CONCATENATE("X",IF(Data!D124&lt;0,"-",""),TEXT(ABS(Data!D124),"0.0000"))</f>
        <v>X-0.6174</v>
      </c>
      <c r="D135" s="16" t="str">
        <f aca="false">CONCATENATE("Y",IF(Data!E124&lt;0,"-",""),TEXT(ABS(Data!E124),"0.0000"))</f>
        <v>Y0.9880</v>
      </c>
      <c r="E135" s="16" t="str">
        <f aca="false">CONCATENATE("Z",IF(Data!F124&lt;0,"-",""),TEXT(ABS(Data!F124),"0.0000"))</f>
        <v>Z-0.0948</v>
      </c>
      <c r="F135" s="16" t="str">
        <f aca="false">CONCATENATE("B",IF(Data!G124&lt;0,"-",""),TEXT(ABS(Data!G124),"0.0000"))</f>
        <v>B10.9589</v>
      </c>
      <c r="G135" s="16" t="str">
        <f aca="false">CONCATENATE("C",IF(Data!A124&lt;0,"-",""),TEXT(ABS(Data!A124),"0.0000"))</f>
        <v>C122.0000</v>
      </c>
    </row>
    <row r="136" customFormat="false" ht="15" hidden="false" customHeight="false" outlineLevel="0" collapsed="false">
      <c r="A136" s="16" t="s">
        <v>182</v>
      </c>
      <c r="B136" s="16" t="s">
        <v>56</v>
      </c>
      <c r="C136" s="16" t="str">
        <f aca="false">CONCATENATE("X",IF(Data!D125&lt;0,"-",""),TEXT(ABS(Data!D125),"0.0000"))</f>
        <v>X-0.6345</v>
      </c>
      <c r="D136" s="16" t="str">
        <f aca="false">CONCATENATE("Y",IF(Data!E125&lt;0,"-",""),TEXT(ABS(Data!E125),"0.0000"))</f>
        <v>Y0.9771</v>
      </c>
      <c r="E136" s="16" t="str">
        <f aca="false">CONCATENATE("Z",IF(Data!F125&lt;0,"-",""),TEXT(ABS(Data!F125),"0.0000"))</f>
        <v>Z-0.0927</v>
      </c>
      <c r="F136" s="16" t="str">
        <f aca="false">CONCATENATE("B",IF(Data!G125&lt;0,"-",""),TEXT(ABS(Data!G125),"0.0000"))</f>
        <v>B10.8363</v>
      </c>
      <c r="G136" s="16" t="str">
        <f aca="false">CONCATENATE("C",IF(Data!A125&lt;0,"-",""),TEXT(ABS(Data!A125),"0.0000"))</f>
        <v>C123.0000</v>
      </c>
    </row>
    <row r="137" customFormat="false" ht="15" hidden="false" customHeight="false" outlineLevel="0" collapsed="false">
      <c r="A137" s="16" t="s">
        <v>183</v>
      </c>
      <c r="B137" s="16" t="s">
        <v>56</v>
      </c>
      <c r="C137" s="16" t="str">
        <f aca="false">CONCATENATE("X",IF(Data!D126&lt;0,"-",""),TEXT(ABS(Data!D126),"0.0000"))</f>
        <v>X-0.6515</v>
      </c>
      <c r="D137" s="16" t="str">
        <f aca="false">CONCATENATE("Y",IF(Data!E126&lt;0,"-",""),TEXT(ABS(Data!E126),"0.0000"))</f>
        <v>Y0.9658</v>
      </c>
      <c r="E137" s="16" t="str">
        <f aca="false">CONCATENATE("Z",IF(Data!F126&lt;0,"-",""),TEXT(ABS(Data!F126),"0.0000"))</f>
        <v>Z-0.0905</v>
      </c>
      <c r="F137" s="16" t="str">
        <f aca="false">CONCATENATE("B",IF(Data!G126&lt;0,"-",""),TEXT(ABS(Data!G126),"0.0000"))</f>
        <v>B10.7103</v>
      </c>
      <c r="G137" s="16" t="str">
        <f aca="false">CONCATENATE("C",IF(Data!A126&lt;0,"-",""),TEXT(ABS(Data!A126),"0.0000"))</f>
        <v>C124.0000</v>
      </c>
    </row>
    <row r="138" customFormat="false" ht="15" hidden="false" customHeight="false" outlineLevel="0" collapsed="false">
      <c r="A138" s="16" t="s">
        <v>184</v>
      </c>
      <c r="B138" s="16" t="s">
        <v>56</v>
      </c>
      <c r="C138" s="16" t="str">
        <f aca="false">CONCATENATE("X",IF(Data!D127&lt;0,"-",""),TEXT(ABS(Data!D127),"0.0000"))</f>
        <v>X-0.6682</v>
      </c>
      <c r="D138" s="16" t="str">
        <f aca="false">CONCATENATE("Y",IF(Data!E127&lt;0,"-",""),TEXT(ABS(Data!E127),"0.0000"))</f>
        <v>Y0.9543</v>
      </c>
      <c r="E138" s="16" t="str">
        <f aca="false">CONCATENATE("Z",IF(Data!F127&lt;0,"-",""),TEXT(ABS(Data!F127),"0.0000"))</f>
        <v>Z-0.0884</v>
      </c>
      <c r="F138" s="16" t="str">
        <f aca="false">CONCATENATE("B",IF(Data!G127&lt;0,"-",""),TEXT(ABS(Data!G127),"0.0000"))</f>
        <v>B10.5811</v>
      </c>
      <c r="G138" s="16" t="str">
        <f aca="false">CONCATENATE("C",IF(Data!A127&lt;0,"-",""),TEXT(ABS(Data!A127),"0.0000"))</f>
        <v>C125.0000</v>
      </c>
    </row>
    <row r="139" customFormat="false" ht="15" hidden="false" customHeight="false" outlineLevel="0" collapsed="false">
      <c r="A139" s="16" t="s">
        <v>185</v>
      </c>
      <c r="B139" s="16" t="s">
        <v>56</v>
      </c>
      <c r="C139" s="16" t="str">
        <f aca="false">CONCATENATE("X",IF(Data!D128&lt;0,"-",""),TEXT(ABS(Data!D128),"0.0000"))</f>
        <v>X-0.6848</v>
      </c>
      <c r="D139" s="16" t="str">
        <f aca="false">CONCATENATE("Y",IF(Data!E128&lt;0,"-",""),TEXT(ABS(Data!E128),"0.0000"))</f>
        <v>Y0.9425</v>
      </c>
      <c r="E139" s="16" t="str">
        <f aca="false">CONCATENATE("Z",IF(Data!F128&lt;0,"-",""),TEXT(ABS(Data!F128),"0.0000"))</f>
        <v>Z-0.0862</v>
      </c>
      <c r="F139" s="16" t="str">
        <f aca="false">CONCATENATE("B",IF(Data!G128&lt;0,"-",""),TEXT(ABS(Data!G128),"0.0000"))</f>
        <v>B10.4487</v>
      </c>
      <c r="G139" s="16" t="str">
        <f aca="false">CONCATENATE("C",IF(Data!A128&lt;0,"-",""),TEXT(ABS(Data!A128),"0.0000"))</f>
        <v>C126.0000</v>
      </c>
    </row>
    <row r="140" customFormat="false" ht="15" hidden="false" customHeight="false" outlineLevel="0" collapsed="false">
      <c r="A140" s="16" t="s">
        <v>186</v>
      </c>
      <c r="B140" s="16" t="s">
        <v>56</v>
      </c>
      <c r="C140" s="16" t="str">
        <f aca="false">CONCATENATE("X",IF(Data!D129&lt;0,"-",""),TEXT(ABS(Data!D129),"0.0000"))</f>
        <v>X-0.7011</v>
      </c>
      <c r="D140" s="16" t="str">
        <f aca="false">CONCATENATE("Y",IF(Data!E129&lt;0,"-",""),TEXT(ABS(Data!E129),"0.0000"))</f>
        <v>Y0.9304</v>
      </c>
      <c r="E140" s="16" t="str">
        <f aca="false">CONCATENATE("Z",IF(Data!F129&lt;0,"-",""),TEXT(ABS(Data!F129),"0.0000"))</f>
        <v>Z-0.0840</v>
      </c>
      <c r="F140" s="16" t="str">
        <f aca="false">CONCATENATE("B",IF(Data!G129&lt;0,"-",""),TEXT(ABS(Data!G129),"0.0000"))</f>
        <v>B10.3132</v>
      </c>
      <c r="G140" s="16" t="str">
        <f aca="false">CONCATENATE("C",IF(Data!A129&lt;0,"-",""),TEXT(ABS(Data!A129),"0.0000"))</f>
        <v>C127.0000</v>
      </c>
    </row>
    <row r="141" customFormat="false" ht="15" hidden="false" customHeight="false" outlineLevel="0" collapsed="false">
      <c r="A141" s="16" t="s">
        <v>187</v>
      </c>
      <c r="B141" s="16" t="s">
        <v>56</v>
      </c>
      <c r="C141" s="16" t="str">
        <f aca="false">CONCATENATE("X",IF(Data!D130&lt;0,"-",""),TEXT(ABS(Data!D130),"0.0000"))</f>
        <v>X-0.7172</v>
      </c>
      <c r="D141" s="16" t="str">
        <f aca="false">CONCATENATE("Y",IF(Data!E130&lt;0,"-",""),TEXT(ABS(Data!E130),"0.0000"))</f>
        <v>Y0.9180</v>
      </c>
      <c r="E141" s="16" t="str">
        <f aca="false">CONCATENATE("Z",IF(Data!F130&lt;0,"-",""),TEXT(ABS(Data!F130),"0.0000"))</f>
        <v>Z-0.0817</v>
      </c>
      <c r="F141" s="16" t="str">
        <f aca="false">CONCATENATE("B",IF(Data!G130&lt;0,"-",""),TEXT(ABS(Data!G130),"0.0000"))</f>
        <v>B10.1745</v>
      </c>
      <c r="G141" s="16" t="str">
        <f aca="false">CONCATENATE("C",IF(Data!A130&lt;0,"-",""),TEXT(ABS(Data!A130),"0.0000"))</f>
        <v>C128.0000</v>
      </c>
    </row>
    <row r="142" customFormat="false" ht="15" hidden="false" customHeight="false" outlineLevel="0" collapsed="false">
      <c r="A142" s="16" t="s">
        <v>188</v>
      </c>
      <c r="B142" s="16" t="s">
        <v>56</v>
      </c>
      <c r="C142" s="16" t="str">
        <f aca="false">CONCATENATE("X",IF(Data!D131&lt;0,"-",""),TEXT(ABS(Data!D131),"0.0000"))</f>
        <v>X-0.7332</v>
      </c>
      <c r="D142" s="16" t="str">
        <f aca="false">CONCATENATE("Y",IF(Data!E131&lt;0,"-",""),TEXT(ABS(Data!E131),"0.0000"))</f>
        <v>Y0.9054</v>
      </c>
      <c r="E142" s="16" t="str">
        <f aca="false">CONCATENATE("Z",IF(Data!F131&lt;0,"-",""),TEXT(ABS(Data!F131),"0.0000"))</f>
        <v>Z-0.0795</v>
      </c>
      <c r="F142" s="16" t="str">
        <f aca="false">CONCATENATE("B",IF(Data!G131&lt;0,"-",""),TEXT(ABS(Data!G131),"0.0000"))</f>
        <v>B10.0328</v>
      </c>
      <c r="G142" s="16" t="str">
        <f aca="false">CONCATENATE("C",IF(Data!A131&lt;0,"-",""),TEXT(ABS(Data!A131),"0.0000"))</f>
        <v>C129.0000</v>
      </c>
    </row>
    <row r="143" customFormat="false" ht="15" hidden="false" customHeight="false" outlineLevel="0" collapsed="false">
      <c r="A143" s="16" t="s">
        <v>189</v>
      </c>
      <c r="B143" s="16" t="s">
        <v>56</v>
      </c>
      <c r="C143" s="16" t="str">
        <f aca="false">CONCATENATE("X",IF(Data!D132&lt;0,"-",""),TEXT(ABS(Data!D132),"0.0000"))</f>
        <v>X-0.7488</v>
      </c>
      <c r="D143" s="16" t="str">
        <f aca="false">CONCATENATE("Y",IF(Data!E132&lt;0,"-",""),TEXT(ABS(Data!E132),"0.0000"))</f>
        <v>Y0.8924</v>
      </c>
      <c r="E143" s="16" t="str">
        <f aca="false">CONCATENATE("Z",IF(Data!F132&lt;0,"-",""),TEXT(ABS(Data!F132),"0.0000"))</f>
        <v>Z-0.0772</v>
      </c>
      <c r="F143" s="16" t="str">
        <f aca="false">CONCATENATE("B",IF(Data!G132&lt;0,"-",""),TEXT(ABS(Data!G132),"0.0000"))</f>
        <v>B9.8880</v>
      </c>
      <c r="G143" s="16" t="str">
        <f aca="false">CONCATENATE("C",IF(Data!A132&lt;0,"-",""),TEXT(ABS(Data!A132),"0.0000"))</f>
        <v>C130.0000</v>
      </c>
    </row>
    <row r="144" customFormat="false" ht="15" hidden="false" customHeight="false" outlineLevel="0" collapsed="false">
      <c r="A144" s="16" t="s">
        <v>190</v>
      </c>
      <c r="B144" s="16" t="s">
        <v>56</v>
      </c>
      <c r="C144" s="16" t="str">
        <f aca="false">CONCATENATE("X",IF(Data!D133&lt;0,"-",""),TEXT(ABS(Data!D133),"0.0000"))</f>
        <v>X-0.7643</v>
      </c>
      <c r="D144" s="16" t="str">
        <f aca="false">CONCATENATE("Y",IF(Data!E133&lt;0,"-",""),TEXT(ABS(Data!E133),"0.0000"))</f>
        <v>Y0.8792</v>
      </c>
      <c r="E144" s="16" t="str">
        <f aca="false">CONCATENATE("Z",IF(Data!F133&lt;0,"-",""),TEXT(ABS(Data!F133),"0.0000"))</f>
        <v>Z-0.0749</v>
      </c>
      <c r="F144" s="16" t="str">
        <f aca="false">CONCATENATE("B",IF(Data!G133&lt;0,"-",""),TEXT(ABS(Data!G133),"0.0000"))</f>
        <v>B9.7402</v>
      </c>
      <c r="G144" s="16" t="str">
        <f aca="false">CONCATENATE("C",IF(Data!A133&lt;0,"-",""),TEXT(ABS(Data!A133),"0.0000"))</f>
        <v>C131.0000</v>
      </c>
    </row>
    <row r="145" customFormat="false" ht="15" hidden="false" customHeight="false" outlineLevel="0" collapsed="false">
      <c r="A145" s="16" t="s">
        <v>191</v>
      </c>
      <c r="B145" s="16" t="s">
        <v>56</v>
      </c>
      <c r="C145" s="16" t="str">
        <f aca="false">CONCATENATE("X",IF(Data!D134&lt;0,"-",""),TEXT(ABS(Data!D134),"0.0000"))</f>
        <v>X-0.7795</v>
      </c>
      <c r="D145" s="16" t="str">
        <f aca="false">CONCATENATE("Y",IF(Data!E134&lt;0,"-",""),TEXT(ABS(Data!E134),"0.0000"))</f>
        <v>Y0.8658</v>
      </c>
      <c r="E145" s="16" t="str">
        <f aca="false">CONCATENATE("Z",IF(Data!F134&lt;0,"-",""),TEXT(ABS(Data!F134),"0.0000"))</f>
        <v>Z-0.0726</v>
      </c>
      <c r="F145" s="16" t="str">
        <f aca="false">CONCATENATE("B",IF(Data!G134&lt;0,"-",""),TEXT(ABS(Data!G134),"0.0000"))</f>
        <v>B9.5896</v>
      </c>
      <c r="G145" s="16" t="str">
        <f aca="false">CONCATENATE("C",IF(Data!A134&lt;0,"-",""),TEXT(ABS(Data!A134),"0.0000"))</f>
        <v>C132.0000</v>
      </c>
    </row>
    <row r="146" customFormat="false" ht="15" hidden="false" customHeight="false" outlineLevel="0" collapsed="false">
      <c r="A146" s="16" t="s">
        <v>192</v>
      </c>
      <c r="B146" s="16" t="s">
        <v>56</v>
      </c>
      <c r="C146" s="16" t="str">
        <f aca="false">CONCATENATE("X",IF(Data!D135&lt;0,"-",""),TEXT(ABS(Data!D135),"0.0000"))</f>
        <v>X-0.7945</v>
      </c>
      <c r="D146" s="16" t="str">
        <f aca="false">CONCATENATE("Y",IF(Data!E135&lt;0,"-",""),TEXT(ABS(Data!E135),"0.0000"))</f>
        <v>Y0.8520</v>
      </c>
      <c r="E146" s="16" t="str">
        <f aca="false">CONCATENATE("Z",IF(Data!F135&lt;0,"-",""),TEXT(ABS(Data!F135),"0.0000"))</f>
        <v>Z-0.0703</v>
      </c>
      <c r="F146" s="16" t="str">
        <f aca="false">CONCATENATE("B",IF(Data!G135&lt;0,"-",""),TEXT(ABS(Data!G135),"0.0000"))</f>
        <v>B9.4360</v>
      </c>
      <c r="G146" s="16" t="str">
        <f aca="false">CONCATENATE("C",IF(Data!A135&lt;0,"-",""),TEXT(ABS(Data!A135),"0.0000"))</f>
        <v>C133.0000</v>
      </c>
    </row>
    <row r="147" customFormat="false" ht="15" hidden="false" customHeight="false" outlineLevel="0" collapsed="false">
      <c r="A147" s="16" t="s">
        <v>193</v>
      </c>
      <c r="B147" s="16" t="s">
        <v>56</v>
      </c>
      <c r="C147" s="16" t="str">
        <f aca="false">CONCATENATE("X",IF(Data!D136&lt;0,"-",""),TEXT(ABS(Data!D136),"0.0000"))</f>
        <v>X-0.8093</v>
      </c>
      <c r="D147" s="16" t="str">
        <f aca="false">CONCATENATE("Y",IF(Data!E136&lt;0,"-",""),TEXT(ABS(Data!E136),"0.0000"))</f>
        <v>Y0.8380</v>
      </c>
      <c r="E147" s="16" t="str">
        <f aca="false">CONCATENATE("Z",IF(Data!F136&lt;0,"-",""),TEXT(ABS(Data!F136),"0.0000"))</f>
        <v>Z-0.0680</v>
      </c>
      <c r="F147" s="16" t="str">
        <f aca="false">CONCATENATE("B",IF(Data!G136&lt;0,"-",""),TEXT(ABS(Data!G136),"0.0000"))</f>
        <v>B9.2796</v>
      </c>
      <c r="G147" s="16" t="str">
        <f aca="false">CONCATENATE("C",IF(Data!A136&lt;0,"-",""),TEXT(ABS(Data!A136),"0.0000"))</f>
        <v>C134.0000</v>
      </c>
    </row>
    <row r="148" customFormat="false" ht="15" hidden="false" customHeight="false" outlineLevel="0" collapsed="false">
      <c r="A148" s="16" t="s">
        <v>194</v>
      </c>
      <c r="B148" s="16" t="s">
        <v>56</v>
      </c>
      <c r="C148" s="16" t="str">
        <f aca="false">CONCATENATE("X",IF(Data!D137&lt;0,"-",""),TEXT(ABS(Data!D137),"0.0000"))</f>
        <v>X-0.8238</v>
      </c>
      <c r="D148" s="16" t="str">
        <f aca="false">CONCATENATE("Y",IF(Data!E137&lt;0,"-",""),TEXT(ABS(Data!E137),"0.0000"))</f>
        <v>Y0.8238</v>
      </c>
      <c r="E148" s="16" t="str">
        <f aca="false">CONCATENATE("Z",IF(Data!F137&lt;0,"-",""),TEXT(ABS(Data!F137),"0.0000"))</f>
        <v>Z-0.0657</v>
      </c>
      <c r="F148" s="16" t="str">
        <f aca="false">CONCATENATE("B",IF(Data!G137&lt;0,"-",""),TEXT(ABS(Data!G137),"0.0000"))</f>
        <v>B9.1205</v>
      </c>
      <c r="G148" s="16" t="str">
        <f aca="false">CONCATENATE("C",IF(Data!A137&lt;0,"-",""),TEXT(ABS(Data!A137),"0.0000"))</f>
        <v>C135.0000</v>
      </c>
    </row>
    <row r="149" customFormat="false" ht="15" hidden="false" customHeight="false" outlineLevel="0" collapsed="false">
      <c r="A149" s="16" t="s">
        <v>195</v>
      </c>
      <c r="B149" s="16" t="s">
        <v>56</v>
      </c>
      <c r="C149" s="16" t="str">
        <f aca="false">CONCATENATE("X",IF(Data!D138&lt;0,"-",""),TEXT(ABS(Data!D138),"0.0000"))</f>
        <v>X-0.8380</v>
      </c>
      <c r="D149" s="16" t="str">
        <f aca="false">CONCATENATE("Y",IF(Data!E138&lt;0,"-",""),TEXT(ABS(Data!E138),"0.0000"))</f>
        <v>Y0.8093</v>
      </c>
      <c r="E149" s="16" t="str">
        <f aca="false">CONCATENATE("Z",IF(Data!F138&lt;0,"-",""),TEXT(ABS(Data!F138),"0.0000"))</f>
        <v>Z-0.0634</v>
      </c>
      <c r="F149" s="16" t="str">
        <f aca="false">CONCATENATE("B",IF(Data!G138&lt;0,"-",""),TEXT(ABS(Data!G138),"0.0000"))</f>
        <v>B8.9586</v>
      </c>
      <c r="G149" s="16" t="str">
        <f aca="false">CONCATENATE("C",IF(Data!A138&lt;0,"-",""),TEXT(ABS(Data!A138),"0.0000"))</f>
        <v>C136.0000</v>
      </c>
    </row>
    <row r="150" customFormat="false" ht="15" hidden="false" customHeight="false" outlineLevel="0" collapsed="false">
      <c r="A150" s="16" t="s">
        <v>196</v>
      </c>
      <c r="B150" s="16" t="s">
        <v>56</v>
      </c>
      <c r="C150" s="16" t="str">
        <f aca="false">CONCATENATE("X",IF(Data!D139&lt;0,"-",""),TEXT(ABS(Data!D139),"0.0000"))</f>
        <v>X-0.8520</v>
      </c>
      <c r="D150" s="16" t="str">
        <f aca="false">CONCATENATE("Y",IF(Data!E139&lt;0,"-",""),TEXT(ABS(Data!E139),"0.0000"))</f>
        <v>Y0.7945</v>
      </c>
      <c r="E150" s="16" t="str">
        <f aca="false">CONCATENATE("Z",IF(Data!F139&lt;0,"-",""),TEXT(ABS(Data!F139),"0.0000"))</f>
        <v>Z-0.0611</v>
      </c>
      <c r="F150" s="16" t="str">
        <f aca="false">CONCATENATE("B",IF(Data!G139&lt;0,"-",""),TEXT(ABS(Data!G139),"0.0000"))</f>
        <v>B8.7940</v>
      </c>
      <c r="G150" s="16" t="str">
        <f aca="false">CONCATENATE("C",IF(Data!A139&lt;0,"-",""),TEXT(ABS(Data!A139),"0.0000"))</f>
        <v>C137.0000</v>
      </c>
    </row>
    <row r="151" customFormat="false" ht="15" hidden="false" customHeight="false" outlineLevel="0" collapsed="false">
      <c r="A151" s="16" t="s">
        <v>197</v>
      </c>
      <c r="B151" s="16" t="s">
        <v>56</v>
      </c>
      <c r="C151" s="16" t="str">
        <f aca="false">CONCATENATE("X",IF(Data!D140&lt;0,"-",""),TEXT(ABS(Data!D140),"0.0000"))</f>
        <v>X-0.8658</v>
      </c>
      <c r="D151" s="16" t="str">
        <f aca="false">CONCATENATE("Y",IF(Data!E140&lt;0,"-",""),TEXT(ABS(Data!E140),"0.0000"))</f>
        <v>Y0.7795</v>
      </c>
      <c r="E151" s="16" t="str">
        <f aca="false">CONCATENATE("Z",IF(Data!F140&lt;0,"-",""),TEXT(ABS(Data!F140),"0.0000"))</f>
        <v>Z-0.0588</v>
      </c>
      <c r="F151" s="16" t="str">
        <f aca="false">CONCATENATE("B",IF(Data!G140&lt;0,"-",""),TEXT(ABS(Data!G140),"0.0000"))</f>
        <v>B8.6268</v>
      </c>
      <c r="G151" s="16" t="str">
        <f aca="false">CONCATENATE("C",IF(Data!A140&lt;0,"-",""),TEXT(ABS(Data!A140),"0.0000"))</f>
        <v>C138.0000</v>
      </c>
    </row>
    <row r="152" customFormat="false" ht="15" hidden="false" customHeight="false" outlineLevel="0" collapsed="false">
      <c r="A152" s="16" t="s">
        <v>198</v>
      </c>
      <c r="B152" s="16" t="s">
        <v>56</v>
      </c>
      <c r="C152" s="16" t="str">
        <f aca="false">CONCATENATE("X",IF(Data!D141&lt;0,"-",""),TEXT(ABS(Data!D141),"0.0000"))</f>
        <v>X-0.8792</v>
      </c>
      <c r="D152" s="16" t="str">
        <f aca="false">CONCATENATE("Y",IF(Data!E141&lt;0,"-",""),TEXT(ABS(Data!E141),"0.0000"))</f>
        <v>Y0.7643</v>
      </c>
      <c r="E152" s="16" t="str">
        <f aca="false">CONCATENATE("Z",IF(Data!F141&lt;0,"-",""),TEXT(ABS(Data!F141),"0.0000"))</f>
        <v>Z-0.0565</v>
      </c>
      <c r="F152" s="16" t="str">
        <f aca="false">CONCATENATE("B",IF(Data!G141&lt;0,"-",""),TEXT(ABS(Data!G141),"0.0000"))</f>
        <v>B8.4570</v>
      </c>
      <c r="G152" s="16" t="str">
        <f aca="false">CONCATENATE("C",IF(Data!A141&lt;0,"-",""),TEXT(ABS(Data!A141),"0.0000"))</f>
        <v>C139.0000</v>
      </c>
    </row>
    <row r="153" customFormat="false" ht="15" hidden="false" customHeight="false" outlineLevel="0" collapsed="false">
      <c r="A153" s="16" t="s">
        <v>199</v>
      </c>
      <c r="B153" s="16" t="s">
        <v>56</v>
      </c>
      <c r="C153" s="16" t="str">
        <f aca="false">CONCATENATE("X",IF(Data!D142&lt;0,"-",""),TEXT(ABS(Data!D142),"0.0000"))</f>
        <v>X-0.8924</v>
      </c>
      <c r="D153" s="16" t="str">
        <f aca="false">CONCATENATE("Y",IF(Data!E142&lt;0,"-",""),TEXT(ABS(Data!E142),"0.0000"))</f>
        <v>Y0.7488</v>
      </c>
      <c r="E153" s="16" t="str">
        <f aca="false">CONCATENATE("Z",IF(Data!F142&lt;0,"-",""),TEXT(ABS(Data!F142),"0.0000"))</f>
        <v>Z-0.0542</v>
      </c>
      <c r="F153" s="16" t="str">
        <f aca="false">CONCATENATE("B",IF(Data!G142&lt;0,"-",""),TEXT(ABS(Data!G142),"0.0000"))</f>
        <v>B8.2847</v>
      </c>
      <c r="G153" s="16" t="str">
        <f aca="false">CONCATENATE("C",IF(Data!A142&lt;0,"-",""),TEXT(ABS(Data!A142),"0.0000"))</f>
        <v>C140.0000</v>
      </c>
    </row>
    <row r="154" customFormat="false" ht="15" hidden="false" customHeight="false" outlineLevel="0" collapsed="false">
      <c r="A154" s="16" t="s">
        <v>200</v>
      </c>
      <c r="B154" s="16" t="s">
        <v>56</v>
      </c>
      <c r="C154" s="16" t="str">
        <f aca="false">CONCATENATE("X",IF(Data!D143&lt;0,"-",""),TEXT(ABS(Data!D143),"0.0000"))</f>
        <v>X-0.9054</v>
      </c>
      <c r="D154" s="16" t="str">
        <f aca="false">CONCATENATE("Y",IF(Data!E143&lt;0,"-",""),TEXT(ABS(Data!E143),"0.0000"))</f>
        <v>Y0.7332</v>
      </c>
      <c r="E154" s="16" t="str">
        <f aca="false">CONCATENATE("Z",IF(Data!F143&lt;0,"-",""),TEXT(ABS(Data!F143),"0.0000"))</f>
        <v>Z-0.0520</v>
      </c>
      <c r="F154" s="16" t="str">
        <f aca="false">CONCATENATE("B",IF(Data!G143&lt;0,"-",""),TEXT(ABS(Data!G143),"0.0000"))</f>
        <v>B8.1100</v>
      </c>
      <c r="G154" s="16" t="str">
        <f aca="false">CONCATENATE("C",IF(Data!A143&lt;0,"-",""),TEXT(ABS(Data!A143),"0.0000"))</f>
        <v>C141.0000</v>
      </c>
    </row>
    <row r="155" customFormat="false" ht="15" hidden="false" customHeight="false" outlineLevel="0" collapsed="false">
      <c r="A155" s="16" t="s">
        <v>201</v>
      </c>
      <c r="B155" s="16" t="s">
        <v>56</v>
      </c>
      <c r="C155" s="16" t="str">
        <f aca="false">CONCATENATE("X",IF(Data!D144&lt;0,"-",""),TEXT(ABS(Data!D144),"0.0000"))</f>
        <v>X-0.9180</v>
      </c>
      <c r="D155" s="16" t="str">
        <f aca="false">CONCATENATE("Y",IF(Data!E144&lt;0,"-",""),TEXT(ABS(Data!E144),"0.0000"))</f>
        <v>Y0.7172</v>
      </c>
      <c r="E155" s="16" t="str">
        <f aca="false">CONCATENATE("Z",IF(Data!F144&lt;0,"-",""),TEXT(ABS(Data!F144),"0.0000"))</f>
        <v>Z-0.0497</v>
      </c>
      <c r="F155" s="16" t="str">
        <f aca="false">CONCATENATE("B",IF(Data!G144&lt;0,"-",""),TEXT(ABS(Data!G144),"0.0000"))</f>
        <v>B7.9328</v>
      </c>
      <c r="G155" s="16" t="str">
        <f aca="false">CONCATENATE("C",IF(Data!A144&lt;0,"-",""),TEXT(ABS(Data!A144),"0.0000"))</f>
        <v>C142.0000</v>
      </c>
    </row>
    <row r="156" customFormat="false" ht="15" hidden="false" customHeight="false" outlineLevel="0" collapsed="false">
      <c r="A156" s="16" t="s">
        <v>202</v>
      </c>
      <c r="B156" s="16" t="s">
        <v>56</v>
      </c>
      <c r="C156" s="16" t="str">
        <f aca="false">CONCATENATE("X",IF(Data!D145&lt;0,"-",""),TEXT(ABS(Data!D145),"0.0000"))</f>
        <v>X-0.9304</v>
      </c>
      <c r="D156" s="16" t="str">
        <f aca="false">CONCATENATE("Y",IF(Data!E145&lt;0,"-",""),TEXT(ABS(Data!E145),"0.0000"))</f>
        <v>Y0.7011</v>
      </c>
      <c r="E156" s="16" t="str">
        <f aca="false">CONCATENATE("Z",IF(Data!F145&lt;0,"-",""),TEXT(ABS(Data!F145),"0.0000"))</f>
        <v>Z-0.0475</v>
      </c>
      <c r="F156" s="16" t="str">
        <f aca="false">CONCATENATE("B",IF(Data!G145&lt;0,"-",""),TEXT(ABS(Data!G145),"0.0000"))</f>
        <v>B7.7533</v>
      </c>
      <c r="G156" s="16" t="str">
        <f aca="false">CONCATENATE("C",IF(Data!A145&lt;0,"-",""),TEXT(ABS(Data!A145),"0.0000"))</f>
        <v>C143.0000</v>
      </c>
    </row>
    <row r="157" customFormat="false" ht="15" hidden="false" customHeight="false" outlineLevel="0" collapsed="false">
      <c r="A157" s="16" t="s">
        <v>203</v>
      </c>
      <c r="B157" s="16" t="s">
        <v>56</v>
      </c>
      <c r="C157" s="16" t="str">
        <f aca="false">CONCATENATE("X",IF(Data!D146&lt;0,"-",""),TEXT(ABS(Data!D146),"0.0000"))</f>
        <v>X-0.9425</v>
      </c>
      <c r="D157" s="16" t="str">
        <f aca="false">CONCATENATE("Y",IF(Data!E146&lt;0,"-",""),TEXT(ABS(Data!E146),"0.0000"))</f>
        <v>Y0.6848</v>
      </c>
      <c r="E157" s="16" t="str">
        <f aca="false">CONCATENATE("Z",IF(Data!F146&lt;0,"-",""),TEXT(ABS(Data!F146),"0.0000"))</f>
        <v>Z-0.0453</v>
      </c>
      <c r="F157" s="16" t="str">
        <f aca="false">CONCATENATE("B",IF(Data!G146&lt;0,"-",""),TEXT(ABS(Data!G146),"0.0000"))</f>
        <v>B7.5715</v>
      </c>
      <c r="G157" s="16" t="str">
        <f aca="false">CONCATENATE("C",IF(Data!A146&lt;0,"-",""),TEXT(ABS(Data!A146),"0.0000"))</f>
        <v>C144.0000</v>
      </c>
    </row>
    <row r="158" customFormat="false" ht="15" hidden="false" customHeight="false" outlineLevel="0" collapsed="false">
      <c r="A158" s="16" t="s">
        <v>204</v>
      </c>
      <c r="B158" s="16" t="s">
        <v>56</v>
      </c>
      <c r="C158" s="16" t="str">
        <f aca="false">CONCATENATE("X",IF(Data!D147&lt;0,"-",""),TEXT(ABS(Data!D147),"0.0000"))</f>
        <v>X-0.9543</v>
      </c>
      <c r="D158" s="16" t="str">
        <f aca="false">CONCATENATE("Y",IF(Data!E147&lt;0,"-",""),TEXT(ABS(Data!E147),"0.0000"))</f>
        <v>Y0.6682</v>
      </c>
      <c r="E158" s="16" t="str">
        <f aca="false">CONCATENATE("Z",IF(Data!F147&lt;0,"-",""),TEXT(ABS(Data!F147),"0.0000"))</f>
        <v>Z-0.0431</v>
      </c>
      <c r="F158" s="16" t="str">
        <f aca="false">CONCATENATE("B",IF(Data!G147&lt;0,"-",""),TEXT(ABS(Data!G147),"0.0000"))</f>
        <v>B7.3874</v>
      </c>
      <c r="G158" s="16" t="str">
        <f aca="false">CONCATENATE("C",IF(Data!A147&lt;0,"-",""),TEXT(ABS(Data!A147),"0.0000"))</f>
        <v>C145.0000</v>
      </c>
    </row>
    <row r="159" customFormat="false" ht="15" hidden="false" customHeight="false" outlineLevel="0" collapsed="false">
      <c r="A159" s="16" t="s">
        <v>205</v>
      </c>
      <c r="B159" s="16" t="s">
        <v>56</v>
      </c>
      <c r="C159" s="16" t="str">
        <f aca="false">CONCATENATE("X",IF(Data!D148&lt;0,"-",""),TEXT(ABS(Data!D148),"0.0000"))</f>
        <v>X-0.9658</v>
      </c>
      <c r="D159" s="16" t="str">
        <f aca="false">CONCATENATE("Y",IF(Data!E148&lt;0,"-",""),TEXT(ABS(Data!E148),"0.0000"))</f>
        <v>Y0.6515</v>
      </c>
      <c r="E159" s="16" t="str">
        <f aca="false">CONCATENATE("Z",IF(Data!F148&lt;0,"-",""),TEXT(ABS(Data!F148),"0.0000"))</f>
        <v>Z-0.0410</v>
      </c>
      <c r="F159" s="16" t="str">
        <f aca="false">CONCATENATE("B",IF(Data!G148&lt;0,"-",""),TEXT(ABS(Data!G148),"0.0000"))</f>
        <v>B7.2011</v>
      </c>
      <c r="G159" s="16" t="str">
        <f aca="false">CONCATENATE("C",IF(Data!A148&lt;0,"-",""),TEXT(ABS(Data!A148),"0.0000"))</f>
        <v>C146.0000</v>
      </c>
    </row>
    <row r="160" customFormat="false" ht="15" hidden="false" customHeight="false" outlineLevel="0" collapsed="false">
      <c r="A160" s="16" t="s">
        <v>206</v>
      </c>
      <c r="B160" s="16" t="s">
        <v>56</v>
      </c>
      <c r="C160" s="16" t="str">
        <f aca="false">CONCATENATE("X",IF(Data!D149&lt;0,"-",""),TEXT(ABS(Data!D149),"0.0000"))</f>
        <v>X-0.9771</v>
      </c>
      <c r="D160" s="16" t="str">
        <f aca="false">CONCATENATE("Y",IF(Data!E149&lt;0,"-",""),TEXT(ABS(Data!E149),"0.0000"))</f>
        <v>Y0.6345</v>
      </c>
      <c r="E160" s="16" t="str">
        <f aca="false">CONCATENATE("Z",IF(Data!F149&lt;0,"-",""),TEXT(ABS(Data!F149),"0.0000"))</f>
        <v>Z-0.0389</v>
      </c>
      <c r="F160" s="16" t="str">
        <f aca="false">CONCATENATE("B",IF(Data!G149&lt;0,"-",""),TEXT(ABS(Data!G149),"0.0000"))</f>
        <v>B7.0128</v>
      </c>
      <c r="G160" s="16" t="str">
        <f aca="false">CONCATENATE("C",IF(Data!A149&lt;0,"-",""),TEXT(ABS(Data!A149),"0.0000"))</f>
        <v>C147.0000</v>
      </c>
    </row>
    <row r="161" customFormat="false" ht="15" hidden="false" customHeight="false" outlineLevel="0" collapsed="false">
      <c r="A161" s="16" t="s">
        <v>207</v>
      </c>
      <c r="B161" s="16" t="s">
        <v>56</v>
      </c>
      <c r="C161" s="16" t="str">
        <f aca="false">CONCATENATE("X",IF(Data!D150&lt;0,"-",""),TEXT(ABS(Data!D150),"0.0000"))</f>
        <v>X-0.9880</v>
      </c>
      <c r="D161" s="16" t="str">
        <f aca="false">CONCATENATE("Y",IF(Data!E150&lt;0,"-",""),TEXT(ABS(Data!E150),"0.0000"))</f>
        <v>Y0.6174</v>
      </c>
      <c r="E161" s="16" t="str">
        <f aca="false">CONCATENATE("Z",IF(Data!F150&lt;0,"-",""),TEXT(ABS(Data!F150),"0.0000"))</f>
        <v>Z-0.0368</v>
      </c>
      <c r="F161" s="16" t="str">
        <f aca="false">CONCATENATE("B",IF(Data!G150&lt;0,"-",""),TEXT(ABS(Data!G150),"0.0000"))</f>
        <v>B6.8223</v>
      </c>
      <c r="G161" s="16" t="str">
        <f aca="false">CONCATENATE("C",IF(Data!A150&lt;0,"-",""),TEXT(ABS(Data!A150),"0.0000"))</f>
        <v>C148.0000</v>
      </c>
    </row>
    <row r="162" customFormat="false" ht="15" hidden="false" customHeight="false" outlineLevel="0" collapsed="false">
      <c r="A162" s="16" t="s">
        <v>208</v>
      </c>
      <c r="B162" s="16" t="s">
        <v>56</v>
      </c>
      <c r="C162" s="16" t="str">
        <f aca="false">CONCATENATE("X",IF(Data!D151&lt;0,"-",""),TEXT(ABS(Data!D151),"0.0000"))</f>
        <v>X-0.9986</v>
      </c>
      <c r="D162" s="16" t="str">
        <f aca="false">CONCATENATE("Y",IF(Data!E151&lt;0,"-",""),TEXT(ABS(Data!E151),"0.0000"))</f>
        <v>Y0.6000</v>
      </c>
      <c r="E162" s="16" t="str">
        <f aca="false">CONCATENATE("Z",IF(Data!F151&lt;0,"-",""),TEXT(ABS(Data!F151),"0.0000"))</f>
        <v>Z-0.0348</v>
      </c>
      <c r="F162" s="16" t="str">
        <f aca="false">CONCATENATE("B",IF(Data!G151&lt;0,"-",""),TEXT(ABS(Data!G151),"0.0000"))</f>
        <v>B6.6299</v>
      </c>
      <c r="G162" s="16" t="str">
        <f aca="false">CONCATENATE("C",IF(Data!A151&lt;0,"-",""),TEXT(ABS(Data!A151),"0.0000"))</f>
        <v>C149.0000</v>
      </c>
    </row>
    <row r="163" customFormat="false" ht="15" hidden="false" customHeight="false" outlineLevel="0" collapsed="false">
      <c r="A163" s="16" t="s">
        <v>209</v>
      </c>
      <c r="B163" s="16" t="s">
        <v>56</v>
      </c>
      <c r="C163" s="16" t="str">
        <f aca="false">CONCATENATE("X",IF(Data!D152&lt;0,"-",""),TEXT(ABS(Data!D152),"0.0000"))</f>
        <v>X-1.0089</v>
      </c>
      <c r="D163" s="16" t="str">
        <f aca="false">CONCATENATE("Y",IF(Data!E152&lt;0,"-",""),TEXT(ABS(Data!E152),"0.0000"))</f>
        <v>Y0.5825</v>
      </c>
      <c r="E163" s="16" t="str">
        <f aca="false">CONCATENATE("Z",IF(Data!F152&lt;0,"-",""),TEXT(ABS(Data!F152),"0.0000"))</f>
        <v>Z-0.0327</v>
      </c>
      <c r="F163" s="16" t="str">
        <f aca="false">CONCATENATE("B",IF(Data!G152&lt;0,"-",""),TEXT(ABS(Data!G152),"0.0000"))</f>
        <v>B6.4355</v>
      </c>
      <c r="G163" s="16" t="str">
        <f aca="false">CONCATENATE("C",IF(Data!A152&lt;0,"-",""),TEXT(ABS(Data!A152),"0.0000"))</f>
        <v>C150.0000</v>
      </c>
    </row>
    <row r="164" customFormat="false" ht="15" hidden="false" customHeight="false" outlineLevel="0" collapsed="false">
      <c r="A164" s="16" t="s">
        <v>210</v>
      </c>
      <c r="B164" s="16" t="s">
        <v>56</v>
      </c>
      <c r="C164" s="16" t="str">
        <f aca="false">CONCATENATE("X",IF(Data!D153&lt;0,"-",""),TEXT(ABS(Data!D153),"0.0000"))</f>
        <v>X-1.0189</v>
      </c>
      <c r="D164" s="16" t="str">
        <f aca="false">CONCATENATE("Y",IF(Data!E153&lt;0,"-",""),TEXT(ABS(Data!E153),"0.0000"))</f>
        <v>Y0.5648</v>
      </c>
      <c r="E164" s="16" t="str">
        <f aca="false">CONCATENATE("Z",IF(Data!F153&lt;0,"-",""),TEXT(ABS(Data!F153),"0.0000"))</f>
        <v>Z-0.0308</v>
      </c>
      <c r="F164" s="16" t="str">
        <f aca="false">CONCATENATE("B",IF(Data!G153&lt;0,"-",""),TEXT(ABS(Data!G153),"0.0000"))</f>
        <v>B6.2392</v>
      </c>
      <c r="G164" s="16" t="str">
        <f aca="false">CONCATENATE("C",IF(Data!A153&lt;0,"-",""),TEXT(ABS(Data!A153),"0.0000"))</f>
        <v>C151.0000</v>
      </c>
    </row>
    <row r="165" customFormat="false" ht="15" hidden="false" customHeight="false" outlineLevel="0" collapsed="false">
      <c r="A165" s="16" t="s">
        <v>211</v>
      </c>
      <c r="B165" s="16" t="s">
        <v>56</v>
      </c>
      <c r="C165" s="16" t="str">
        <f aca="false">CONCATENATE("X",IF(Data!D154&lt;0,"-",""),TEXT(ABS(Data!D154),"0.0000"))</f>
        <v>X-1.0286</v>
      </c>
      <c r="D165" s="16" t="str">
        <f aca="false">CONCATENATE("Y",IF(Data!E154&lt;0,"-",""),TEXT(ABS(Data!E154),"0.0000"))</f>
        <v>Y0.5469</v>
      </c>
      <c r="E165" s="16" t="str">
        <f aca="false">CONCATENATE("Z",IF(Data!F154&lt;0,"-",""),TEXT(ABS(Data!F154),"0.0000"))</f>
        <v>Z-0.0289</v>
      </c>
      <c r="F165" s="16" t="str">
        <f aca="false">CONCATENATE("B",IF(Data!G154&lt;0,"-",""),TEXT(ABS(Data!G154),"0.0000"))</f>
        <v>B6.0410</v>
      </c>
      <c r="G165" s="16" t="str">
        <f aca="false">CONCATENATE("C",IF(Data!A154&lt;0,"-",""),TEXT(ABS(Data!A154),"0.0000"))</f>
        <v>C152.0000</v>
      </c>
    </row>
    <row r="166" customFormat="false" ht="15" hidden="false" customHeight="false" outlineLevel="0" collapsed="false">
      <c r="A166" s="16" t="s">
        <v>212</v>
      </c>
      <c r="B166" s="16" t="s">
        <v>56</v>
      </c>
      <c r="C166" s="16" t="str">
        <f aca="false">CONCATENATE("X",IF(Data!D155&lt;0,"-",""),TEXT(ABS(Data!D155),"0.0000"))</f>
        <v>X-1.0380</v>
      </c>
      <c r="D166" s="16" t="str">
        <f aca="false">CONCATENATE("Y",IF(Data!E155&lt;0,"-",""),TEXT(ABS(Data!E155),"0.0000"))</f>
        <v>Y0.5289</v>
      </c>
      <c r="E166" s="16" t="str">
        <f aca="false">CONCATENATE("Z",IF(Data!F155&lt;0,"-",""),TEXT(ABS(Data!F155),"0.0000"))</f>
        <v>Z-0.0270</v>
      </c>
      <c r="F166" s="16" t="str">
        <f aca="false">CONCATENATE("B",IF(Data!G155&lt;0,"-",""),TEXT(ABS(Data!G155),"0.0000"))</f>
        <v>B5.8411</v>
      </c>
      <c r="G166" s="16" t="str">
        <f aca="false">CONCATENATE("C",IF(Data!A155&lt;0,"-",""),TEXT(ABS(Data!A155),"0.0000"))</f>
        <v>C153.0000</v>
      </c>
    </row>
    <row r="167" customFormat="false" ht="15" hidden="false" customHeight="false" outlineLevel="0" collapsed="false">
      <c r="A167" s="16" t="s">
        <v>213</v>
      </c>
      <c r="B167" s="16" t="s">
        <v>56</v>
      </c>
      <c r="C167" s="16" t="str">
        <f aca="false">CONCATENATE("X",IF(Data!D156&lt;0,"-",""),TEXT(ABS(Data!D156),"0.0000"))</f>
        <v>X-1.0471</v>
      </c>
      <c r="D167" s="16" t="str">
        <f aca="false">CONCATENATE("Y",IF(Data!E156&lt;0,"-",""),TEXT(ABS(Data!E156),"0.0000"))</f>
        <v>Y0.5107</v>
      </c>
      <c r="E167" s="16" t="str">
        <f aca="false">CONCATENATE("Z",IF(Data!F156&lt;0,"-",""),TEXT(ABS(Data!F156),"0.0000"))</f>
        <v>Z-0.0252</v>
      </c>
      <c r="F167" s="16" t="str">
        <f aca="false">CONCATENATE("B",IF(Data!G156&lt;0,"-",""),TEXT(ABS(Data!G156),"0.0000"))</f>
        <v>B5.6395</v>
      </c>
      <c r="G167" s="16" t="str">
        <f aca="false">CONCATENATE("C",IF(Data!A156&lt;0,"-",""),TEXT(ABS(Data!A156),"0.0000"))</f>
        <v>C154.0000</v>
      </c>
    </row>
    <row r="168" customFormat="false" ht="15" hidden="false" customHeight="false" outlineLevel="0" collapsed="false">
      <c r="A168" s="16" t="s">
        <v>214</v>
      </c>
      <c r="B168" s="16" t="s">
        <v>56</v>
      </c>
      <c r="C168" s="16" t="str">
        <f aca="false">CONCATENATE("X",IF(Data!D157&lt;0,"-",""),TEXT(ABS(Data!D157),"0.0000"))</f>
        <v>X-1.0558</v>
      </c>
      <c r="D168" s="16" t="str">
        <f aca="false">CONCATENATE("Y",IF(Data!E157&lt;0,"-",""),TEXT(ABS(Data!E157),"0.0000"))</f>
        <v>Y0.4924</v>
      </c>
      <c r="E168" s="16" t="str">
        <f aca="false">CONCATENATE("Z",IF(Data!F157&lt;0,"-",""),TEXT(ABS(Data!F157),"0.0000"))</f>
        <v>Z-0.0234</v>
      </c>
      <c r="F168" s="16" t="str">
        <f aca="false">CONCATENATE("B",IF(Data!G157&lt;0,"-",""),TEXT(ABS(Data!G157),"0.0000"))</f>
        <v>B5.4362</v>
      </c>
      <c r="G168" s="16" t="str">
        <f aca="false">CONCATENATE("C",IF(Data!A157&lt;0,"-",""),TEXT(ABS(Data!A157),"0.0000"))</f>
        <v>C155.0000</v>
      </c>
    </row>
    <row r="169" customFormat="false" ht="15" hidden="false" customHeight="false" outlineLevel="0" collapsed="false">
      <c r="A169" s="16" t="s">
        <v>215</v>
      </c>
      <c r="B169" s="16" t="s">
        <v>56</v>
      </c>
      <c r="C169" s="16" t="str">
        <f aca="false">CONCATENATE("X",IF(Data!D158&lt;0,"-",""),TEXT(ABS(Data!D158),"0.0000"))</f>
        <v>X-1.0643</v>
      </c>
      <c r="D169" s="16" t="str">
        <f aca="false">CONCATENATE("Y",IF(Data!E158&lt;0,"-",""),TEXT(ABS(Data!E158),"0.0000"))</f>
        <v>Y0.4738</v>
      </c>
      <c r="E169" s="16" t="str">
        <f aca="false">CONCATENATE("Z",IF(Data!F158&lt;0,"-",""),TEXT(ABS(Data!F158),"0.0000"))</f>
        <v>Z-0.0216</v>
      </c>
      <c r="F169" s="16" t="str">
        <f aca="false">CONCATENATE("B",IF(Data!G158&lt;0,"-",""),TEXT(ABS(Data!G158),"0.0000"))</f>
        <v>B5.2313</v>
      </c>
      <c r="G169" s="16" t="str">
        <f aca="false">CONCATENATE("C",IF(Data!A158&lt;0,"-",""),TEXT(ABS(Data!A158),"0.0000"))</f>
        <v>C156.0000</v>
      </c>
    </row>
    <row r="170" customFormat="false" ht="15" hidden="false" customHeight="false" outlineLevel="0" collapsed="false">
      <c r="A170" s="16" t="s">
        <v>216</v>
      </c>
      <c r="B170" s="16" t="s">
        <v>56</v>
      </c>
      <c r="C170" s="16" t="str">
        <f aca="false">CONCATENATE("X",IF(Data!D159&lt;0,"-",""),TEXT(ABS(Data!D159),"0.0000"))</f>
        <v>X-1.0724</v>
      </c>
      <c r="D170" s="16" t="str">
        <f aca="false">CONCATENATE("Y",IF(Data!E159&lt;0,"-",""),TEXT(ABS(Data!E159),"0.0000"))</f>
        <v>Y0.4552</v>
      </c>
      <c r="E170" s="16" t="str">
        <f aca="false">CONCATENATE("Z",IF(Data!F159&lt;0,"-",""),TEXT(ABS(Data!F159),"0.0000"))</f>
        <v>Z-0.0200</v>
      </c>
      <c r="F170" s="16" t="str">
        <f aca="false">CONCATENATE("B",IF(Data!G159&lt;0,"-",""),TEXT(ABS(Data!G159),"0.0000"))</f>
        <v>B5.0249</v>
      </c>
      <c r="G170" s="16" t="str">
        <f aca="false">CONCATENATE("C",IF(Data!A159&lt;0,"-",""),TEXT(ABS(Data!A159),"0.0000"))</f>
        <v>C157.0000</v>
      </c>
    </row>
    <row r="171" customFormat="false" ht="15" hidden="false" customHeight="false" outlineLevel="0" collapsed="false">
      <c r="A171" s="16" t="s">
        <v>217</v>
      </c>
      <c r="B171" s="16" t="s">
        <v>56</v>
      </c>
      <c r="C171" s="16" t="str">
        <f aca="false">CONCATENATE("X",IF(Data!D160&lt;0,"-",""),TEXT(ABS(Data!D160),"0.0000"))</f>
        <v>X-1.0802</v>
      </c>
      <c r="D171" s="16" t="str">
        <f aca="false">CONCATENATE("Y",IF(Data!E160&lt;0,"-",""),TEXT(ABS(Data!E160),"0.0000"))</f>
        <v>Y0.4364</v>
      </c>
      <c r="E171" s="16" t="str">
        <f aca="false">CONCATENATE("Z",IF(Data!F160&lt;0,"-",""),TEXT(ABS(Data!F160),"0.0000"))</f>
        <v>Z-0.0184</v>
      </c>
      <c r="F171" s="16" t="str">
        <f aca="false">CONCATENATE("B",IF(Data!G160&lt;0,"-",""),TEXT(ABS(Data!G160),"0.0000"))</f>
        <v>B4.8171</v>
      </c>
      <c r="G171" s="16" t="str">
        <f aca="false">CONCATENATE("C",IF(Data!A160&lt;0,"-",""),TEXT(ABS(Data!A160),"0.0000"))</f>
        <v>C158.0000</v>
      </c>
    </row>
    <row r="172" customFormat="false" ht="15" hidden="false" customHeight="false" outlineLevel="0" collapsed="false">
      <c r="A172" s="16" t="s">
        <v>218</v>
      </c>
      <c r="B172" s="16" t="s">
        <v>56</v>
      </c>
      <c r="C172" s="16" t="str">
        <f aca="false">CONCATENATE("X",IF(Data!D161&lt;0,"-",""),TEXT(ABS(Data!D161),"0.0000"))</f>
        <v>X-1.0876</v>
      </c>
      <c r="D172" s="16" t="str">
        <f aca="false">CONCATENATE("Y",IF(Data!E161&lt;0,"-",""),TEXT(ABS(Data!E161),"0.0000"))</f>
        <v>Y0.4175</v>
      </c>
      <c r="E172" s="16" t="str">
        <f aca="false">CONCATENATE("Z",IF(Data!F161&lt;0,"-",""),TEXT(ABS(Data!F161),"0.0000"))</f>
        <v>Z-0.0168</v>
      </c>
      <c r="F172" s="16" t="str">
        <f aca="false">CONCATENATE("B",IF(Data!G161&lt;0,"-",""),TEXT(ABS(Data!G161),"0.0000"))</f>
        <v>B4.6078</v>
      </c>
      <c r="G172" s="16" t="str">
        <f aca="false">CONCATENATE("C",IF(Data!A161&lt;0,"-",""),TEXT(ABS(Data!A161),"0.0000"))</f>
        <v>C159.0000</v>
      </c>
    </row>
    <row r="173" customFormat="false" ht="15" hidden="false" customHeight="false" outlineLevel="0" collapsed="false">
      <c r="A173" s="16" t="s">
        <v>219</v>
      </c>
      <c r="B173" s="16" t="s">
        <v>56</v>
      </c>
      <c r="C173" s="16" t="str">
        <f aca="false">CONCATENATE("X",IF(Data!D162&lt;0,"-",""),TEXT(ABS(Data!D162),"0.0000"))</f>
        <v>X-1.0947</v>
      </c>
      <c r="D173" s="16" t="str">
        <f aca="false">CONCATENATE("Y",IF(Data!E162&lt;0,"-",""),TEXT(ABS(Data!E162),"0.0000"))</f>
        <v>Y0.3985</v>
      </c>
      <c r="E173" s="16" t="str">
        <f aca="false">CONCATENATE("Z",IF(Data!F162&lt;0,"-",""),TEXT(ABS(Data!F162),"0.0000"))</f>
        <v>Z-0.0153</v>
      </c>
      <c r="F173" s="16" t="str">
        <f aca="false">CONCATENATE("B",IF(Data!G162&lt;0,"-",""),TEXT(ABS(Data!G162),"0.0000"))</f>
        <v>B4.3972</v>
      </c>
      <c r="G173" s="16" t="str">
        <f aca="false">CONCATENATE("C",IF(Data!A162&lt;0,"-",""),TEXT(ABS(Data!A162),"0.0000"))</f>
        <v>C160.0000</v>
      </c>
    </row>
    <row r="174" customFormat="false" ht="15" hidden="false" customHeight="false" outlineLevel="0" collapsed="false">
      <c r="A174" s="16" t="s">
        <v>220</v>
      </c>
      <c r="B174" s="16" t="s">
        <v>56</v>
      </c>
      <c r="C174" s="16" t="str">
        <f aca="false">CONCATENATE("X",IF(Data!D163&lt;0,"-",""),TEXT(ABS(Data!D163),"0.0000"))</f>
        <v>X-1.1015</v>
      </c>
      <c r="D174" s="16" t="str">
        <f aca="false">CONCATENATE("Y",IF(Data!E163&lt;0,"-",""),TEXT(ABS(Data!E163),"0.0000"))</f>
        <v>Y0.3793</v>
      </c>
      <c r="E174" s="16" t="str">
        <f aca="false">CONCATENATE("Z",IF(Data!F163&lt;0,"-",""),TEXT(ABS(Data!F163),"0.0000"))</f>
        <v>Z-0.0139</v>
      </c>
      <c r="F174" s="16" t="str">
        <f aca="false">CONCATENATE("B",IF(Data!G163&lt;0,"-",""),TEXT(ABS(Data!G163),"0.0000"))</f>
        <v>B4.1853</v>
      </c>
      <c r="G174" s="16" t="str">
        <f aca="false">CONCATENATE("C",IF(Data!A163&lt;0,"-",""),TEXT(ABS(Data!A163),"0.0000"))</f>
        <v>C161.0000</v>
      </c>
    </row>
    <row r="175" customFormat="false" ht="15" hidden="false" customHeight="false" outlineLevel="0" collapsed="false">
      <c r="A175" s="16" t="s">
        <v>221</v>
      </c>
      <c r="B175" s="16" t="s">
        <v>56</v>
      </c>
      <c r="C175" s="16" t="str">
        <f aca="false">CONCATENATE("X",IF(Data!D164&lt;0,"-",""),TEXT(ABS(Data!D164),"0.0000"))</f>
        <v>X-1.1080</v>
      </c>
      <c r="D175" s="16" t="str">
        <f aca="false">CONCATENATE("Y",IF(Data!E164&lt;0,"-",""),TEXT(ABS(Data!E164),"0.0000"))</f>
        <v>Y0.3600</v>
      </c>
      <c r="E175" s="16" t="str">
        <f aca="false">CONCATENATE("Z",IF(Data!F164&lt;0,"-",""),TEXT(ABS(Data!F164),"0.0000"))</f>
        <v>Z-0.0125</v>
      </c>
      <c r="F175" s="16" t="str">
        <f aca="false">CONCATENATE("B",IF(Data!G164&lt;0,"-",""),TEXT(ABS(Data!G164),"0.0000"))</f>
        <v>B3.9722</v>
      </c>
      <c r="G175" s="16" t="str">
        <f aca="false">CONCATENATE("C",IF(Data!A164&lt;0,"-",""),TEXT(ABS(Data!A164),"0.0000"))</f>
        <v>C162.0000</v>
      </c>
    </row>
    <row r="176" customFormat="false" ht="15" hidden="false" customHeight="false" outlineLevel="0" collapsed="false">
      <c r="A176" s="16" t="s">
        <v>222</v>
      </c>
      <c r="B176" s="16" t="s">
        <v>56</v>
      </c>
      <c r="C176" s="16" t="str">
        <f aca="false">CONCATENATE("X",IF(Data!D165&lt;0,"-",""),TEXT(ABS(Data!D165),"0.0000"))</f>
        <v>X-1.1141</v>
      </c>
      <c r="D176" s="16" t="str">
        <f aca="false">CONCATENATE("Y",IF(Data!E165&lt;0,"-",""),TEXT(ABS(Data!E165),"0.0000"))</f>
        <v>Y0.3406</v>
      </c>
      <c r="E176" s="16" t="str">
        <f aca="false">CONCATENATE("Z",IF(Data!F165&lt;0,"-",""),TEXT(ABS(Data!F165),"0.0000"))</f>
        <v>Z-0.0112</v>
      </c>
      <c r="F176" s="16" t="str">
        <f aca="false">CONCATENATE("B",IF(Data!G165&lt;0,"-",""),TEXT(ABS(Data!G165),"0.0000"))</f>
        <v>B3.7579</v>
      </c>
      <c r="G176" s="16" t="str">
        <f aca="false">CONCATENATE("C",IF(Data!A165&lt;0,"-",""),TEXT(ABS(Data!A165),"0.0000"))</f>
        <v>C163.0000</v>
      </c>
    </row>
    <row r="177" customFormat="false" ht="15" hidden="false" customHeight="false" outlineLevel="0" collapsed="false">
      <c r="A177" s="16" t="s">
        <v>223</v>
      </c>
      <c r="B177" s="16" t="s">
        <v>56</v>
      </c>
      <c r="C177" s="16" t="str">
        <f aca="false">CONCATENATE("X",IF(Data!D166&lt;0,"-",""),TEXT(ABS(Data!D166),"0.0000"))</f>
        <v>X-1.1199</v>
      </c>
      <c r="D177" s="16" t="str">
        <f aca="false">CONCATENATE("Y",IF(Data!E166&lt;0,"-",""),TEXT(ABS(Data!E166),"0.0000"))</f>
        <v>Y0.3211</v>
      </c>
      <c r="E177" s="16" t="str">
        <f aca="false">CONCATENATE("Z",IF(Data!F166&lt;0,"-",""),TEXT(ABS(Data!F166),"0.0000"))</f>
        <v>Z-0.0099</v>
      </c>
      <c r="F177" s="16" t="str">
        <f aca="false">CONCATENATE("B",IF(Data!G166&lt;0,"-",""),TEXT(ABS(Data!G166),"0.0000"))</f>
        <v>B3.5425</v>
      </c>
      <c r="G177" s="16" t="str">
        <f aca="false">CONCATENATE("C",IF(Data!A166&lt;0,"-",""),TEXT(ABS(Data!A166),"0.0000"))</f>
        <v>C164.0000</v>
      </c>
    </row>
    <row r="178" customFormat="false" ht="15" hidden="false" customHeight="false" outlineLevel="0" collapsed="false">
      <c r="A178" s="16" t="s">
        <v>224</v>
      </c>
      <c r="B178" s="16" t="s">
        <v>56</v>
      </c>
      <c r="C178" s="16" t="str">
        <f aca="false">CONCATENATE("X",IF(Data!D167&lt;0,"-",""),TEXT(ABS(Data!D167),"0.0000"))</f>
        <v>X-1.1253</v>
      </c>
      <c r="D178" s="16" t="str">
        <f aca="false">CONCATENATE("Y",IF(Data!E167&lt;0,"-",""),TEXT(ABS(Data!E167),"0.0000"))</f>
        <v>Y0.3015</v>
      </c>
      <c r="E178" s="16" t="str">
        <f aca="false">CONCATENATE("Z",IF(Data!F167&lt;0,"-",""),TEXT(ABS(Data!F167),"0.0000"))</f>
        <v>Z-0.0088</v>
      </c>
      <c r="F178" s="16" t="str">
        <f aca="false">CONCATENATE("B",IF(Data!G167&lt;0,"-",""),TEXT(ABS(Data!G167),"0.0000"))</f>
        <v>B3.3261</v>
      </c>
      <c r="G178" s="16" t="str">
        <f aca="false">CONCATENATE("C",IF(Data!A167&lt;0,"-",""),TEXT(ABS(Data!A167),"0.0000"))</f>
        <v>C165.0000</v>
      </c>
    </row>
    <row r="179" customFormat="false" ht="15" hidden="false" customHeight="false" outlineLevel="0" collapsed="false">
      <c r="A179" s="16" t="s">
        <v>225</v>
      </c>
      <c r="B179" s="16" t="s">
        <v>56</v>
      </c>
      <c r="C179" s="16" t="str">
        <f aca="false">CONCATENATE("X",IF(Data!D168&lt;0,"-",""),TEXT(ABS(Data!D168),"0.0000"))</f>
        <v>X-1.1304</v>
      </c>
      <c r="D179" s="16" t="str">
        <f aca="false">CONCATENATE("Y",IF(Data!E168&lt;0,"-",""),TEXT(ABS(Data!E168),"0.0000"))</f>
        <v>Y0.2818</v>
      </c>
      <c r="E179" s="16" t="str">
        <f aca="false">CONCATENATE("Z",IF(Data!F168&lt;0,"-",""),TEXT(ABS(Data!F168),"0.0000"))</f>
        <v>Z-0.0076</v>
      </c>
      <c r="F179" s="16" t="str">
        <f aca="false">CONCATENATE("B",IF(Data!G168&lt;0,"-",""),TEXT(ABS(Data!G168),"0.0000"))</f>
        <v>B3.1087</v>
      </c>
      <c r="G179" s="16" t="str">
        <f aca="false">CONCATENATE("C",IF(Data!A168&lt;0,"-",""),TEXT(ABS(Data!A168),"0.0000"))</f>
        <v>C166.0000</v>
      </c>
    </row>
    <row r="180" customFormat="false" ht="15" hidden="false" customHeight="false" outlineLevel="0" collapsed="false">
      <c r="A180" s="16" t="s">
        <v>226</v>
      </c>
      <c r="B180" s="16" t="s">
        <v>56</v>
      </c>
      <c r="C180" s="16" t="str">
        <f aca="false">CONCATENATE("X",IF(Data!D169&lt;0,"-",""),TEXT(ABS(Data!D169),"0.0000"))</f>
        <v>X-1.1351</v>
      </c>
      <c r="D180" s="16" t="str">
        <f aca="false">CONCATENATE("Y",IF(Data!E169&lt;0,"-",""),TEXT(ABS(Data!E169),"0.0000"))</f>
        <v>Y0.2621</v>
      </c>
      <c r="E180" s="16" t="str">
        <f aca="false">CONCATENATE("Z",IF(Data!F169&lt;0,"-",""),TEXT(ABS(Data!F169),"0.0000"))</f>
        <v>Z-0.0066</v>
      </c>
      <c r="F180" s="16" t="str">
        <f aca="false">CONCATENATE("B",IF(Data!G169&lt;0,"-",""),TEXT(ABS(Data!G169),"0.0000"))</f>
        <v>B2.8905</v>
      </c>
      <c r="G180" s="16" t="str">
        <f aca="false">CONCATENATE("C",IF(Data!A169&lt;0,"-",""),TEXT(ABS(Data!A169),"0.0000"))</f>
        <v>C167.0000</v>
      </c>
    </row>
    <row r="181" customFormat="false" ht="15" hidden="false" customHeight="false" outlineLevel="0" collapsed="false">
      <c r="A181" s="16" t="s">
        <v>227</v>
      </c>
      <c r="B181" s="16" t="s">
        <v>56</v>
      </c>
      <c r="C181" s="16" t="str">
        <f aca="false">CONCATENATE("X",IF(Data!D170&lt;0,"-",""),TEXT(ABS(Data!D170),"0.0000"))</f>
        <v>X-1.1395</v>
      </c>
      <c r="D181" s="16" t="str">
        <f aca="false">CONCATENATE("Y",IF(Data!E170&lt;0,"-",""),TEXT(ABS(Data!E170),"0.0000"))</f>
        <v>Y0.2422</v>
      </c>
      <c r="E181" s="16" t="str">
        <f aca="false">CONCATENATE("Z",IF(Data!F170&lt;0,"-",""),TEXT(ABS(Data!F170),"0.0000"))</f>
        <v>Z-0.0056</v>
      </c>
      <c r="F181" s="16" t="str">
        <f aca="false">CONCATENATE("B",IF(Data!G170&lt;0,"-",""),TEXT(ABS(Data!G170),"0.0000"))</f>
        <v>B2.6714</v>
      </c>
      <c r="G181" s="16" t="str">
        <f aca="false">CONCATENATE("C",IF(Data!A170&lt;0,"-",""),TEXT(ABS(Data!A170),"0.0000"))</f>
        <v>C168.0000</v>
      </c>
    </row>
    <row r="182" customFormat="false" ht="15" hidden="false" customHeight="false" outlineLevel="0" collapsed="false">
      <c r="A182" s="16" t="s">
        <v>228</v>
      </c>
      <c r="B182" s="16" t="s">
        <v>56</v>
      </c>
      <c r="C182" s="16" t="str">
        <f aca="false">CONCATENATE("X",IF(Data!D171&lt;0,"-",""),TEXT(ABS(Data!D171),"0.0000"))</f>
        <v>X-1.1436</v>
      </c>
      <c r="D182" s="16" t="str">
        <f aca="false">CONCATENATE("Y",IF(Data!E171&lt;0,"-",""),TEXT(ABS(Data!E171),"0.0000"))</f>
        <v>Y0.2223</v>
      </c>
      <c r="E182" s="16" t="str">
        <f aca="false">CONCATENATE("Z",IF(Data!F171&lt;0,"-",""),TEXT(ABS(Data!F171),"0.0000"))</f>
        <v>Z-0.0048</v>
      </c>
      <c r="F182" s="16" t="str">
        <f aca="false">CONCATENATE("B",IF(Data!G171&lt;0,"-",""),TEXT(ABS(Data!G171),"0.0000"))</f>
        <v>B2.4515</v>
      </c>
      <c r="G182" s="16" t="str">
        <f aca="false">CONCATENATE("C",IF(Data!A171&lt;0,"-",""),TEXT(ABS(Data!A171),"0.0000"))</f>
        <v>C169.0000</v>
      </c>
    </row>
    <row r="183" customFormat="false" ht="15" hidden="false" customHeight="false" outlineLevel="0" collapsed="false">
      <c r="A183" s="16" t="s">
        <v>229</v>
      </c>
      <c r="B183" s="16" t="s">
        <v>56</v>
      </c>
      <c r="C183" s="16" t="str">
        <f aca="false">CONCATENATE("X",IF(Data!D172&lt;0,"-",""),TEXT(ABS(Data!D172),"0.0000"))</f>
        <v>X-1.1473</v>
      </c>
      <c r="D183" s="16" t="str">
        <f aca="false">CONCATENATE("Y",IF(Data!E172&lt;0,"-",""),TEXT(ABS(Data!E172),"0.0000"))</f>
        <v>Y0.2023</v>
      </c>
      <c r="E183" s="16" t="str">
        <f aca="false">CONCATENATE("Z",IF(Data!F172&lt;0,"-",""),TEXT(ABS(Data!F172),"0.0000"))</f>
        <v>Z-0.0039</v>
      </c>
      <c r="F183" s="16" t="str">
        <f aca="false">CONCATENATE("B",IF(Data!G172&lt;0,"-",""),TEXT(ABS(Data!G172),"0.0000"))</f>
        <v>B2.2309</v>
      </c>
      <c r="G183" s="16" t="str">
        <f aca="false">CONCATENATE("C",IF(Data!A172&lt;0,"-",""),TEXT(ABS(Data!A172),"0.0000"))</f>
        <v>C170.0000</v>
      </c>
    </row>
    <row r="184" customFormat="false" ht="15" hidden="false" customHeight="false" outlineLevel="0" collapsed="false">
      <c r="A184" s="16" t="s">
        <v>230</v>
      </c>
      <c r="B184" s="16" t="s">
        <v>56</v>
      </c>
      <c r="C184" s="16" t="str">
        <f aca="false">CONCATENATE("X",IF(Data!D173&lt;0,"-",""),TEXT(ABS(Data!D173),"0.0000"))</f>
        <v>X-1.1507</v>
      </c>
      <c r="D184" s="16" t="str">
        <f aca="false">CONCATENATE("Y",IF(Data!E173&lt;0,"-",""),TEXT(ABS(Data!E173),"0.0000"))</f>
        <v>Y0.1822</v>
      </c>
      <c r="E184" s="16" t="str">
        <f aca="false">CONCATENATE("Z",IF(Data!F173&lt;0,"-",""),TEXT(ABS(Data!F173),"0.0000"))</f>
        <v>Z-0.0032</v>
      </c>
      <c r="F184" s="16" t="str">
        <f aca="false">CONCATENATE("B",IF(Data!G173&lt;0,"-",""),TEXT(ABS(Data!G173),"0.0000"))</f>
        <v>B2.0096</v>
      </c>
      <c r="G184" s="16" t="str">
        <f aca="false">CONCATENATE("C",IF(Data!A173&lt;0,"-",""),TEXT(ABS(Data!A173),"0.0000"))</f>
        <v>C171.0000</v>
      </c>
    </row>
    <row r="185" customFormat="false" ht="15" hidden="false" customHeight="false" outlineLevel="0" collapsed="false">
      <c r="A185" s="16" t="s">
        <v>231</v>
      </c>
      <c r="B185" s="16" t="s">
        <v>56</v>
      </c>
      <c r="C185" s="16" t="str">
        <f aca="false">CONCATENATE("X",IF(Data!D174&lt;0,"-",""),TEXT(ABS(Data!D174),"0.0000"))</f>
        <v>X-1.1537</v>
      </c>
      <c r="D185" s="16" t="str">
        <f aca="false">CONCATENATE("Y",IF(Data!E174&lt;0,"-",""),TEXT(ABS(Data!E174),"0.0000"))</f>
        <v>Y0.1621</v>
      </c>
      <c r="E185" s="16" t="str">
        <f aca="false">CONCATENATE("Z",IF(Data!F174&lt;0,"-",""),TEXT(ABS(Data!F174),"0.0000"))</f>
        <v>Z-0.0025</v>
      </c>
      <c r="F185" s="16" t="str">
        <f aca="false">CONCATENATE("B",IF(Data!G174&lt;0,"-",""),TEXT(ABS(Data!G174),"0.0000"))</f>
        <v>B1.7878</v>
      </c>
      <c r="G185" s="16" t="str">
        <f aca="false">CONCATENATE("C",IF(Data!A174&lt;0,"-",""),TEXT(ABS(Data!A174),"0.0000"))</f>
        <v>C172.0000</v>
      </c>
    </row>
    <row r="186" customFormat="false" ht="15" hidden="false" customHeight="false" outlineLevel="0" collapsed="false">
      <c r="A186" s="16" t="s">
        <v>232</v>
      </c>
      <c r="B186" s="16" t="s">
        <v>56</v>
      </c>
      <c r="C186" s="16" t="str">
        <f aca="false">CONCATENATE("X",IF(Data!D175&lt;0,"-",""),TEXT(ABS(Data!D175),"0.0000"))</f>
        <v>X-1.1563</v>
      </c>
      <c r="D186" s="16" t="str">
        <f aca="false">CONCATENATE("Y",IF(Data!E175&lt;0,"-",""),TEXT(ABS(Data!E175),"0.0000"))</f>
        <v>Y0.1420</v>
      </c>
      <c r="E186" s="16" t="str">
        <f aca="false">CONCATENATE("Z",IF(Data!F175&lt;0,"-",""),TEXT(ABS(Data!F175),"0.0000"))</f>
        <v>Z-0.0019</v>
      </c>
      <c r="F186" s="16" t="str">
        <f aca="false">CONCATENATE("B",IF(Data!G175&lt;0,"-",""),TEXT(ABS(Data!G175),"0.0000"))</f>
        <v>B1.5655</v>
      </c>
      <c r="G186" s="16" t="str">
        <f aca="false">CONCATENATE("C",IF(Data!A175&lt;0,"-",""),TEXT(ABS(Data!A175),"0.0000"))</f>
        <v>C173.0000</v>
      </c>
    </row>
    <row r="187" customFormat="false" ht="15" hidden="false" customHeight="false" outlineLevel="0" collapsed="false">
      <c r="A187" s="16" t="s">
        <v>233</v>
      </c>
      <c r="B187" s="16" t="s">
        <v>56</v>
      </c>
      <c r="C187" s="16" t="str">
        <f aca="false">CONCATENATE("X",IF(Data!D176&lt;0,"-",""),TEXT(ABS(Data!D176),"0.0000"))</f>
        <v>X-1.1586</v>
      </c>
      <c r="D187" s="16" t="str">
        <f aca="false">CONCATENATE("Y",IF(Data!E176&lt;0,"-",""),TEXT(ABS(Data!E176),"0.0000"))</f>
        <v>Y0.1218</v>
      </c>
      <c r="E187" s="16" t="str">
        <f aca="false">CONCATENATE("Z",IF(Data!F176&lt;0,"-",""),TEXT(ABS(Data!F176),"0.0000"))</f>
        <v>Z-0.0014</v>
      </c>
      <c r="F187" s="16" t="str">
        <f aca="false">CONCATENATE("B",IF(Data!G176&lt;0,"-",""),TEXT(ABS(Data!G176),"0.0000"))</f>
        <v>B1.3427</v>
      </c>
      <c r="G187" s="16" t="str">
        <f aca="false">CONCATENATE("C",IF(Data!A176&lt;0,"-",""),TEXT(ABS(Data!A176),"0.0000"))</f>
        <v>C174.0000</v>
      </c>
    </row>
    <row r="188" customFormat="false" ht="15" hidden="false" customHeight="false" outlineLevel="0" collapsed="false">
      <c r="A188" s="16" t="s">
        <v>234</v>
      </c>
      <c r="B188" s="16" t="s">
        <v>56</v>
      </c>
      <c r="C188" s="16" t="str">
        <f aca="false">CONCATENATE("X",IF(Data!D177&lt;0,"-",""),TEXT(ABS(Data!D177),"0.0000"))</f>
        <v>X-1.1606</v>
      </c>
      <c r="D188" s="16" t="str">
        <f aca="false">CONCATENATE("Y",IF(Data!E177&lt;0,"-",""),TEXT(ABS(Data!E177),"0.0000"))</f>
        <v>Y0.1015</v>
      </c>
      <c r="E188" s="16" t="str">
        <f aca="false">CONCATENATE("Z",IF(Data!F177&lt;0,"-",""),TEXT(ABS(Data!F177),"0.0000"))</f>
        <v>Z-0.0010</v>
      </c>
      <c r="F188" s="16" t="str">
        <f aca="false">CONCATENATE("B",IF(Data!G177&lt;0,"-",""),TEXT(ABS(Data!G177),"0.0000"))</f>
        <v>B1.1195</v>
      </c>
      <c r="G188" s="16" t="str">
        <f aca="false">CONCATENATE("C",IF(Data!A177&lt;0,"-",""),TEXT(ABS(Data!A177),"0.0000"))</f>
        <v>C175.0000</v>
      </c>
    </row>
    <row r="189" customFormat="false" ht="15" hidden="false" customHeight="false" outlineLevel="0" collapsed="false">
      <c r="A189" s="16" t="s">
        <v>235</v>
      </c>
      <c r="B189" s="16" t="s">
        <v>56</v>
      </c>
      <c r="C189" s="16" t="str">
        <f aca="false">CONCATENATE("X",IF(Data!D178&lt;0,"-",""),TEXT(ABS(Data!D178),"0.0000"))</f>
        <v>X-1.1622</v>
      </c>
      <c r="D189" s="16" t="str">
        <f aca="false">CONCATENATE("Y",IF(Data!E178&lt;0,"-",""),TEXT(ABS(Data!E178),"0.0000"))</f>
        <v>Y0.0813</v>
      </c>
      <c r="E189" s="16" t="str">
        <f aca="false">CONCATENATE("Z",IF(Data!F178&lt;0,"-",""),TEXT(ABS(Data!F178),"0.0000"))</f>
        <v>Z-0.0006</v>
      </c>
      <c r="F189" s="16" t="str">
        <f aca="false">CONCATENATE("B",IF(Data!G178&lt;0,"-",""),TEXT(ABS(Data!G178),"0.0000"))</f>
        <v>B0.8960</v>
      </c>
      <c r="G189" s="16" t="str">
        <f aca="false">CONCATENATE("C",IF(Data!A178&lt;0,"-",""),TEXT(ABS(Data!A178),"0.0000"))</f>
        <v>C176.0000</v>
      </c>
    </row>
    <row r="190" customFormat="false" ht="15" hidden="false" customHeight="false" outlineLevel="0" collapsed="false">
      <c r="A190" s="16" t="s">
        <v>236</v>
      </c>
      <c r="B190" s="16" t="s">
        <v>56</v>
      </c>
      <c r="C190" s="16" t="str">
        <f aca="false">CONCATENATE("X",IF(Data!D179&lt;0,"-",""),TEXT(ABS(Data!D179),"0.0000"))</f>
        <v>X-1.1634</v>
      </c>
      <c r="D190" s="16" t="str">
        <f aca="false">CONCATENATE("Y",IF(Data!E179&lt;0,"-",""),TEXT(ABS(Data!E179),"0.0000"))</f>
        <v>Y0.0610</v>
      </c>
      <c r="E190" s="16" t="str">
        <f aca="false">CONCATENATE("Z",IF(Data!F179&lt;0,"-",""),TEXT(ABS(Data!F179),"0.0000"))</f>
        <v>Z-0.0004</v>
      </c>
      <c r="F190" s="16" t="str">
        <f aca="false">CONCATENATE("B",IF(Data!G179&lt;0,"-",""),TEXT(ABS(Data!G179),"0.0000"))</f>
        <v>B0.6722</v>
      </c>
      <c r="G190" s="16" t="str">
        <f aca="false">CONCATENATE("C",IF(Data!A179&lt;0,"-",""),TEXT(ABS(Data!A179),"0.0000"))</f>
        <v>C177.0000</v>
      </c>
    </row>
    <row r="191" customFormat="false" ht="15" hidden="false" customHeight="false" outlineLevel="0" collapsed="false">
      <c r="A191" s="16" t="s">
        <v>237</v>
      </c>
      <c r="B191" s="16" t="s">
        <v>56</v>
      </c>
      <c r="C191" s="16" t="str">
        <f aca="false">CONCATENATE("X",IF(Data!D180&lt;0,"-",""),TEXT(ABS(Data!D180),"0.0000"))</f>
        <v>X-1.1643</v>
      </c>
      <c r="D191" s="16" t="str">
        <f aca="false">CONCATENATE("Y",IF(Data!E180&lt;0,"-",""),TEXT(ABS(Data!E180),"0.0000"))</f>
        <v>Y0.0407</v>
      </c>
      <c r="E191" s="16" t="str">
        <f aca="false">CONCATENATE("Z",IF(Data!F180&lt;0,"-",""),TEXT(ABS(Data!F180),"0.0000"))</f>
        <v>Z-0.0002</v>
      </c>
      <c r="F191" s="16" t="str">
        <f aca="false">CONCATENATE("B",IF(Data!G180&lt;0,"-",""),TEXT(ABS(Data!G180),"0.0000"))</f>
        <v>B0.4482</v>
      </c>
      <c r="G191" s="16" t="str">
        <f aca="false">CONCATENATE("C",IF(Data!A180&lt;0,"-",""),TEXT(ABS(Data!A180),"0.0000"))</f>
        <v>C178.0000</v>
      </c>
    </row>
    <row r="192" customFormat="false" ht="15" hidden="false" customHeight="false" outlineLevel="0" collapsed="false">
      <c r="A192" s="16" t="s">
        <v>238</v>
      </c>
      <c r="B192" s="16" t="s">
        <v>56</v>
      </c>
      <c r="C192" s="16" t="str">
        <f aca="false">CONCATENATE("X",IF(Data!D181&lt;0,"-",""),TEXT(ABS(Data!D181),"0.0000"))</f>
        <v>X-1.1648</v>
      </c>
      <c r="D192" s="16" t="str">
        <f aca="false">CONCATENATE("Y",IF(Data!E181&lt;0,"-",""),TEXT(ABS(Data!E181),"0.0000"))</f>
        <v>Y0.0203</v>
      </c>
      <c r="E192" s="16" t="str">
        <f aca="false">CONCATENATE("Z",IF(Data!F181&lt;0,"-",""),TEXT(ABS(Data!F181),"0.0000"))</f>
        <v>Z-0.0000</v>
      </c>
      <c r="F192" s="16" t="str">
        <f aca="false">CONCATENATE("B",IF(Data!G181&lt;0,"-",""),TEXT(ABS(Data!G181),"0.0000"))</f>
        <v>B0.2242</v>
      </c>
      <c r="G192" s="16" t="str">
        <f aca="false">CONCATENATE("C",IF(Data!A181&lt;0,"-",""),TEXT(ABS(Data!A181),"0.0000"))</f>
        <v>C179.0000</v>
      </c>
    </row>
    <row r="193" customFormat="false" ht="13.8" hidden="false" customHeight="false" outlineLevel="0" collapsed="false">
      <c r="A193" s="15" t="s">
        <v>239</v>
      </c>
      <c r="B193" s="15" t="s">
        <v>56</v>
      </c>
      <c r="C193" s="15" t="str">
        <f aca="false">CONCATENATE("X",IF(Data!D182&lt;0,"-",""),TEXT(ABS(Data!D182),"0.0000"))</f>
        <v>X-1.1650</v>
      </c>
      <c r="D193" s="15" t="str">
        <f aca="false">CONCATENATE("Y",IF(Data!E182&lt;0,"-",""),TEXT(ABS(Data!E182),"0.0000"))</f>
        <v>Y0.0000</v>
      </c>
      <c r="E193" s="15" t="str">
        <f aca="false">CONCATENATE("Z",IF(Data!F182&lt;0,"-",""),TEXT(ABS(Data!F182),"0.0000"))</f>
        <v>Z0.0000</v>
      </c>
      <c r="F193" s="15" t="str">
        <f aca="false">CONCATENATE("B",IF(Data!G182&lt;0,"-",""),TEXT(ABS(Data!G182),"0.0000"))</f>
        <v>B0.0000</v>
      </c>
      <c r="G193" s="15" t="str">
        <f aca="false">CONCATENATE("C",IF(Data!A182&lt;0,"-",""),TEXT(ABS(Data!A182),"0.0000"))</f>
        <v>C180.0000</v>
      </c>
    </row>
    <row r="194" customFormat="false" ht="15" hidden="false" customHeight="false" outlineLevel="0" collapsed="false">
      <c r="A194" s="16" t="s">
        <v>240</v>
      </c>
      <c r="B194" s="16" t="s">
        <v>56</v>
      </c>
      <c r="C194" s="16" t="str">
        <f aca="false">CONCATENATE("X",IF(Data!D183&lt;0,"-",""),TEXT(ABS(Data!D183),"0.0000"))</f>
        <v>X-1.1648</v>
      </c>
      <c r="D194" s="16" t="str">
        <f aca="false">CONCATENATE("Y",IF(Data!E183&lt;0,"-",""),TEXT(ABS(Data!E183),"0.0000"))</f>
        <v>Y-0.0203</v>
      </c>
      <c r="E194" s="16" t="str">
        <f aca="false">CONCATENATE("Z",IF(Data!F183&lt;0,"-",""),TEXT(ABS(Data!F183),"0.0000"))</f>
        <v>Z-0.0000</v>
      </c>
      <c r="F194" s="16" t="str">
        <f aca="false">CONCATENATE("B",IF(Data!G183&lt;0,"-",""),TEXT(ABS(Data!G183),"0.0000"))</f>
        <v>B-0.2242</v>
      </c>
      <c r="G194" s="16" t="str">
        <f aca="false">CONCATENATE("C",IF(Data!A183&lt;0,"-",""),TEXT(ABS(Data!A183),"0.0000"))</f>
        <v>C181.0000</v>
      </c>
    </row>
    <row r="195" customFormat="false" ht="15" hidden="false" customHeight="false" outlineLevel="0" collapsed="false">
      <c r="A195" s="16" t="s">
        <v>241</v>
      </c>
      <c r="B195" s="16" t="s">
        <v>56</v>
      </c>
      <c r="C195" s="16" t="str">
        <f aca="false">CONCATENATE("X",IF(Data!D184&lt;0,"-",""),TEXT(ABS(Data!D184),"0.0000"))</f>
        <v>X-1.1643</v>
      </c>
      <c r="D195" s="16" t="str">
        <f aca="false">CONCATENATE("Y",IF(Data!E184&lt;0,"-",""),TEXT(ABS(Data!E184),"0.0000"))</f>
        <v>Y-0.0407</v>
      </c>
      <c r="E195" s="16" t="str">
        <f aca="false">CONCATENATE("Z",IF(Data!F184&lt;0,"-",""),TEXT(ABS(Data!F184),"0.0000"))</f>
        <v>Z-0.0002</v>
      </c>
      <c r="F195" s="16" t="str">
        <f aca="false">CONCATENATE("B",IF(Data!G184&lt;0,"-",""),TEXT(ABS(Data!G184),"0.0000"))</f>
        <v>B-0.4482</v>
      </c>
      <c r="G195" s="16" t="str">
        <f aca="false">CONCATENATE("C",IF(Data!A184&lt;0,"-",""),TEXT(ABS(Data!A184),"0.0000"))</f>
        <v>C182.0000</v>
      </c>
    </row>
    <row r="196" customFormat="false" ht="15" hidden="false" customHeight="false" outlineLevel="0" collapsed="false">
      <c r="A196" s="16" t="s">
        <v>242</v>
      </c>
      <c r="B196" s="16" t="s">
        <v>56</v>
      </c>
      <c r="C196" s="16" t="str">
        <f aca="false">CONCATENATE("X",IF(Data!D185&lt;0,"-",""),TEXT(ABS(Data!D185),"0.0000"))</f>
        <v>X-1.1634</v>
      </c>
      <c r="D196" s="16" t="str">
        <f aca="false">CONCATENATE("Y",IF(Data!E185&lt;0,"-",""),TEXT(ABS(Data!E185),"0.0000"))</f>
        <v>Y-0.0610</v>
      </c>
      <c r="E196" s="16" t="str">
        <f aca="false">CONCATENATE("Z",IF(Data!F185&lt;0,"-",""),TEXT(ABS(Data!F185),"0.0000"))</f>
        <v>Z-0.0004</v>
      </c>
      <c r="F196" s="16" t="str">
        <f aca="false">CONCATENATE("B",IF(Data!G185&lt;0,"-",""),TEXT(ABS(Data!G185),"0.0000"))</f>
        <v>B-0.6722</v>
      </c>
      <c r="G196" s="16" t="str">
        <f aca="false">CONCATENATE("C",IF(Data!A185&lt;0,"-",""),TEXT(ABS(Data!A185),"0.0000"))</f>
        <v>C183.0000</v>
      </c>
    </row>
    <row r="197" customFormat="false" ht="15" hidden="false" customHeight="false" outlineLevel="0" collapsed="false">
      <c r="A197" s="16" t="s">
        <v>243</v>
      </c>
      <c r="B197" s="16" t="s">
        <v>56</v>
      </c>
      <c r="C197" s="16" t="str">
        <f aca="false">CONCATENATE("X",IF(Data!D186&lt;0,"-",""),TEXT(ABS(Data!D186),"0.0000"))</f>
        <v>X-1.1622</v>
      </c>
      <c r="D197" s="16" t="str">
        <f aca="false">CONCATENATE("Y",IF(Data!E186&lt;0,"-",""),TEXT(ABS(Data!E186),"0.0000"))</f>
        <v>Y-0.0813</v>
      </c>
      <c r="E197" s="16" t="str">
        <f aca="false">CONCATENATE("Z",IF(Data!F186&lt;0,"-",""),TEXT(ABS(Data!F186),"0.0000"))</f>
        <v>Z-0.0006</v>
      </c>
      <c r="F197" s="16" t="str">
        <f aca="false">CONCATENATE("B",IF(Data!G186&lt;0,"-",""),TEXT(ABS(Data!G186),"0.0000"))</f>
        <v>B-0.8960</v>
      </c>
      <c r="G197" s="16" t="str">
        <f aca="false">CONCATENATE("C",IF(Data!A186&lt;0,"-",""),TEXT(ABS(Data!A186),"0.0000"))</f>
        <v>C184.0000</v>
      </c>
    </row>
    <row r="198" customFormat="false" ht="15" hidden="false" customHeight="false" outlineLevel="0" collapsed="false">
      <c r="A198" s="16" t="s">
        <v>244</v>
      </c>
      <c r="B198" s="16" t="s">
        <v>56</v>
      </c>
      <c r="C198" s="16" t="str">
        <f aca="false">CONCATENATE("X",IF(Data!D187&lt;0,"-",""),TEXT(ABS(Data!D187),"0.0000"))</f>
        <v>X-1.1606</v>
      </c>
      <c r="D198" s="16" t="str">
        <f aca="false">CONCATENATE("Y",IF(Data!E187&lt;0,"-",""),TEXT(ABS(Data!E187),"0.0000"))</f>
        <v>Y-0.1015</v>
      </c>
      <c r="E198" s="16" t="str">
        <f aca="false">CONCATENATE("Z",IF(Data!F187&lt;0,"-",""),TEXT(ABS(Data!F187),"0.0000"))</f>
        <v>Z-0.0010</v>
      </c>
      <c r="F198" s="16" t="str">
        <f aca="false">CONCATENATE("B",IF(Data!G187&lt;0,"-",""),TEXT(ABS(Data!G187),"0.0000"))</f>
        <v>B-1.1195</v>
      </c>
      <c r="G198" s="16" t="str">
        <f aca="false">CONCATENATE("C",IF(Data!A187&lt;0,"-",""),TEXT(ABS(Data!A187),"0.0000"))</f>
        <v>C185.0000</v>
      </c>
    </row>
    <row r="199" customFormat="false" ht="15" hidden="false" customHeight="false" outlineLevel="0" collapsed="false">
      <c r="A199" s="16" t="s">
        <v>245</v>
      </c>
      <c r="B199" s="16" t="s">
        <v>56</v>
      </c>
      <c r="C199" s="16" t="str">
        <f aca="false">CONCATENATE("X",IF(Data!D188&lt;0,"-",""),TEXT(ABS(Data!D188),"0.0000"))</f>
        <v>X-1.1586</v>
      </c>
      <c r="D199" s="16" t="str">
        <f aca="false">CONCATENATE("Y",IF(Data!E188&lt;0,"-",""),TEXT(ABS(Data!E188),"0.0000"))</f>
        <v>Y-0.1218</v>
      </c>
      <c r="E199" s="16" t="str">
        <f aca="false">CONCATENATE("Z",IF(Data!F188&lt;0,"-",""),TEXT(ABS(Data!F188),"0.0000"))</f>
        <v>Z-0.0014</v>
      </c>
      <c r="F199" s="16" t="str">
        <f aca="false">CONCATENATE("B",IF(Data!G188&lt;0,"-",""),TEXT(ABS(Data!G188),"0.0000"))</f>
        <v>B-1.3427</v>
      </c>
      <c r="G199" s="16" t="str">
        <f aca="false">CONCATENATE("C",IF(Data!A188&lt;0,"-",""),TEXT(ABS(Data!A188),"0.0000"))</f>
        <v>C186.0000</v>
      </c>
    </row>
    <row r="200" customFormat="false" ht="15" hidden="false" customHeight="false" outlineLevel="0" collapsed="false">
      <c r="A200" s="16" t="s">
        <v>246</v>
      </c>
      <c r="B200" s="16" t="s">
        <v>56</v>
      </c>
      <c r="C200" s="16" t="str">
        <f aca="false">CONCATENATE("X",IF(Data!D189&lt;0,"-",""),TEXT(ABS(Data!D189),"0.0000"))</f>
        <v>X-1.1563</v>
      </c>
      <c r="D200" s="16" t="str">
        <f aca="false">CONCATENATE("Y",IF(Data!E189&lt;0,"-",""),TEXT(ABS(Data!E189),"0.0000"))</f>
        <v>Y-0.1420</v>
      </c>
      <c r="E200" s="16" t="str">
        <f aca="false">CONCATENATE("Z",IF(Data!F189&lt;0,"-",""),TEXT(ABS(Data!F189),"0.0000"))</f>
        <v>Z-0.0019</v>
      </c>
      <c r="F200" s="16" t="str">
        <f aca="false">CONCATENATE("B",IF(Data!G189&lt;0,"-",""),TEXT(ABS(Data!G189),"0.0000"))</f>
        <v>B-1.5655</v>
      </c>
      <c r="G200" s="16" t="str">
        <f aca="false">CONCATENATE("C",IF(Data!A189&lt;0,"-",""),TEXT(ABS(Data!A189),"0.0000"))</f>
        <v>C187.0000</v>
      </c>
    </row>
    <row r="201" customFormat="false" ht="15" hidden="false" customHeight="false" outlineLevel="0" collapsed="false">
      <c r="A201" s="16" t="s">
        <v>247</v>
      </c>
      <c r="B201" s="16" t="s">
        <v>56</v>
      </c>
      <c r="C201" s="16" t="str">
        <f aca="false">CONCATENATE("X",IF(Data!D190&lt;0,"-",""),TEXT(ABS(Data!D190),"0.0000"))</f>
        <v>X-1.1537</v>
      </c>
      <c r="D201" s="16" t="str">
        <f aca="false">CONCATENATE("Y",IF(Data!E190&lt;0,"-",""),TEXT(ABS(Data!E190),"0.0000"))</f>
        <v>Y-0.1621</v>
      </c>
      <c r="E201" s="16" t="str">
        <f aca="false">CONCATENATE("Z",IF(Data!F190&lt;0,"-",""),TEXT(ABS(Data!F190),"0.0000"))</f>
        <v>Z-0.0025</v>
      </c>
      <c r="F201" s="16" t="str">
        <f aca="false">CONCATENATE("B",IF(Data!G190&lt;0,"-",""),TEXT(ABS(Data!G190),"0.0000"))</f>
        <v>B-1.7878</v>
      </c>
      <c r="G201" s="16" t="str">
        <f aca="false">CONCATENATE("C",IF(Data!A190&lt;0,"-",""),TEXT(ABS(Data!A190),"0.0000"))</f>
        <v>C188.0000</v>
      </c>
    </row>
    <row r="202" customFormat="false" ht="15" hidden="false" customHeight="false" outlineLevel="0" collapsed="false">
      <c r="A202" s="16" t="s">
        <v>248</v>
      </c>
      <c r="B202" s="16" t="s">
        <v>56</v>
      </c>
      <c r="C202" s="16" t="str">
        <f aca="false">CONCATENATE("X",IF(Data!D191&lt;0,"-",""),TEXT(ABS(Data!D191),"0.0000"))</f>
        <v>X-1.1507</v>
      </c>
      <c r="D202" s="16" t="str">
        <f aca="false">CONCATENATE("Y",IF(Data!E191&lt;0,"-",""),TEXT(ABS(Data!E191),"0.0000"))</f>
        <v>Y-0.1822</v>
      </c>
      <c r="E202" s="16" t="str">
        <f aca="false">CONCATENATE("Z",IF(Data!F191&lt;0,"-",""),TEXT(ABS(Data!F191),"0.0000"))</f>
        <v>Z-0.0032</v>
      </c>
      <c r="F202" s="16" t="str">
        <f aca="false">CONCATENATE("B",IF(Data!G191&lt;0,"-",""),TEXT(ABS(Data!G191),"0.0000"))</f>
        <v>B-2.0096</v>
      </c>
      <c r="G202" s="16" t="str">
        <f aca="false">CONCATENATE("C",IF(Data!A191&lt;0,"-",""),TEXT(ABS(Data!A191),"0.0000"))</f>
        <v>C189.0000</v>
      </c>
    </row>
    <row r="203" customFormat="false" ht="15" hidden="false" customHeight="false" outlineLevel="0" collapsed="false">
      <c r="A203" s="16" t="s">
        <v>249</v>
      </c>
      <c r="B203" s="16" t="s">
        <v>56</v>
      </c>
      <c r="C203" s="16" t="str">
        <f aca="false">CONCATENATE("X",IF(Data!D192&lt;0,"-",""),TEXT(ABS(Data!D192),"0.0000"))</f>
        <v>X-1.1473</v>
      </c>
      <c r="D203" s="16" t="str">
        <f aca="false">CONCATENATE("Y",IF(Data!E192&lt;0,"-",""),TEXT(ABS(Data!E192),"0.0000"))</f>
        <v>Y-0.2023</v>
      </c>
      <c r="E203" s="16" t="str">
        <f aca="false">CONCATENATE("Z",IF(Data!F192&lt;0,"-",""),TEXT(ABS(Data!F192),"0.0000"))</f>
        <v>Z-0.0039</v>
      </c>
      <c r="F203" s="16" t="str">
        <f aca="false">CONCATENATE("B",IF(Data!G192&lt;0,"-",""),TEXT(ABS(Data!G192),"0.0000"))</f>
        <v>B-2.2309</v>
      </c>
      <c r="G203" s="16" t="str">
        <f aca="false">CONCATENATE("C",IF(Data!A192&lt;0,"-",""),TEXT(ABS(Data!A192),"0.0000"))</f>
        <v>C190.0000</v>
      </c>
    </row>
    <row r="204" customFormat="false" ht="15" hidden="false" customHeight="false" outlineLevel="0" collapsed="false">
      <c r="A204" s="16" t="s">
        <v>250</v>
      </c>
      <c r="B204" s="16" t="s">
        <v>56</v>
      </c>
      <c r="C204" s="16" t="str">
        <f aca="false">CONCATENATE("X",IF(Data!D193&lt;0,"-",""),TEXT(ABS(Data!D193),"0.0000"))</f>
        <v>X-1.1436</v>
      </c>
      <c r="D204" s="16" t="str">
        <f aca="false">CONCATENATE("Y",IF(Data!E193&lt;0,"-",""),TEXT(ABS(Data!E193),"0.0000"))</f>
        <v>Y-0.2223</v>
      </c>
      <c r="E204" s="16" t="str">
        <f aca="false">CONCATENATE("Z",IF(Data!F193&lt;0,"-",""),TEXT(ABS(Data!F193),"0.0000"))</f>
        <v>Z-0.0048</v>
      </c>
      <c r="F204" s="16" t="str">
        <f aca="false">CONCATENATE("B",IF(Data!G193&lt;0,"-",""),TEXT(ABS(Data!G193),"0.0000"))</f>
        <v>B-2.4515</v>
      </c>
      <c r="G204" s="16" t="str">
        <f aca="false">CONCATENATE("C",IF(Data!A193&lt;0,"-",""),TEXT(ABS(Data!A193),"0.0000"))</f>
        <v>C191.0000</v>
      </c>
    </row>
    <row r="205" customFormat="false" ht="15" hidden="false" customHeight="false" outlineLevel="0" collapsed="false">
      <c r="A205" s="16" t="s">
        <v>251</v>
      </c>
      <c r="B205" s="16" t="s">
        <v>56</v>
      </c>
      <c r="C205" s="16" t="str">
        <f aca="false">CONCATENATE("X",IF(Data!D194&lt;0,"-",""),TEXT(ABS(Data!D194),"0.0000"))</f>
        <v>X-1.1395</v>
      </c>
      <c r="D205" s="16" t="str">
        <f aca="false">CONCATENATE("Y",IF(Data!E194&lt;0,"-",""),TEXT(ABS(Data!E194),"0.0000"))</f>
        <v>Y-0.2422</v>
      </c>
      <c r="E205" s="16" t="str">
        <f aca="false">CONCATENATE("Z",IF(Data!F194&lt;0,"-",""),TEXT(ABS(Data!F194),"0.0000"))</f>
        <v>Z-0.0056</v>
      </c>
      <c r="F205" s="16" t="str">
        <f aca="false">CONCATENATE("B",IF(Data!G194&lt;0,"-",""),TEXT(ABS(Data!G194),"0.0000"))</f>
        <v>B-2.6714</v>
      </c>
      <c r="G205" s="16" t="str">
        <f aca="false">CONCATENATE("C",IF(Data!A194&lt;0,"-",""),TEXT(ABS(Data!A194),"0.0000"))</f>
        <v>C192.0000</v>
      </c>
    </row>
    <row r="206" customFormat="false" ht="15" hidden="false" customHeight="false" outlineLevel="0" collapsed="false">
      <c r="A206" s="16" t="s">
        <v>252</v>
      </c>
      <c r="B206" s="16" t="s">
        <v>56</v>
      </c>
      <c r="C206" s="16" t="str">
        <f aca="false">CONCATENATE("X",IF(Data!D195&lt;0,"-",""),TEXT(ABS(Data!D195),"0.0000"))</f>
        <v>X-1.1351</v>
      </c>
      <c r="D206" s="16" t="str">
        <f aca="false">CONCATENATE("Y",IF(Data!E195&lt;0,"-",""),TEXT(ABS(Data!E195),"0.0000"))</f>
        <v>Y-0.2621</v>
      </c>
      <c r="E206" s="16" t="str">
        <f aca="false">CONCATENATE("Z",IF(Data!F195&lt;0,"-",""),TEXT(ABS(Data!F195),"0.0000"))</f>
        <v>Z-0.0066</v>
      </c>
      <c r="F206" s="16" t="str">
        <f aca="false">CONCATENATE("B",IF(Data!G195&lt;0,"-",""),TEXT(ABS(Data!G195),"0.0000"))</f>
        <v>B-2.8905</v>
      </c>
      <c r="G206" s="16" t="str">
        <f aca="false">CONCATENATE("C",IF(Data!A195&lt;0,"-",""),TEXT(ABS(Data!A195),"0.0000"))</f>
        <v>C193.0000</v>
      </c>
    </row>
    <row r="207" customFormat="false" ht="15" hidden="false" customHeight="false" outlineLevel="0" collapsed="false">
      <c r="A207" s="16" t="s">
        <v>253</v>
      </c>
      <c r="B207" s="16" t="s">
        <v>56</v>
      </c>
      <c r="C207" s="16" t="str">
        <f aca="false">CONCATENATE("X",IF(Data!D196&lt;0,"-",""),TEXT(ABS(Data!D196),"0.0000"))</f>
        <v>X-1.1304</v>
      </c>
      <c r="D207" s="16" t="str">
        <f aca="false">CONCATENATE("Y",IF(Data!E196&lt;0,"-",""),TEXT(ABS(Data!E196),"0.0000"))</f>
        <v>Y-0.2818</v>
      </c>
      <c r="E207" s="16" t="str">
        <f aca="false">CONCATENATE("Z",IF(Data!F196&lt;0,"-",""),TEXT(ABS(Data!F196),"0.0000"))</f>
        <v>Z-0.0076</v>
      </c>
      <c r="F207" s="16" t="str">
        <f aca="false">CONCATENATE("B",IF(Data!G196&lt;0,"-",""),TEXT(ABS(Data!G196),"0.0000"))</f>
        <v>B-3.1087</v>
      </c>
      <c r="G207" s="16" t="str">
        <f aca="false">CONCATENATE("C",IF(Data!A196&lt;0,"-",""),TEXT(ABS(Data!A196),"0.0000"))</f>
        <v>C194.0000</v>
      </c>
    </row>
    <row r="208" customFormat="false" ht="15" hidden="false" customHeight="false" outlineLevel="0" collapsed="false">
      <c r="A208" s="16" t="s">
        <v>254</v>
      </c>
      <c r="B208" s="16" t="s">
        <v>56</v>
      </c>
      <c r="C208" s="16" t="str">
        <f aca="false">CONCATENATE("X",IF(Data!D197&lt;0,"-",""),TEXT(ABS(Data!D197),"0.0000"))</f>
        <v>X-1.1253</v>
      </c>
      <c r="D208" s="16" t="str">
        <f aca="false">CONCATENATE("Y",IF(Data!E197&lt;0,"-",""),TEXT(ABS(Data!E197),"0.0000"))</f>
        <v>Y-0.3015</v>
      </c>
      <c r="E208" s="16" t="str">
        <f aca="false">CONCATENATE("Z",IF(Data!F197&lt;0,"-",""),TEXT(ABS(Data!F197),"0.0000"))</f>
        <v>Z-0.0088</v>
      </c>
      <c r="F208" s="16" t="str">
        <f aca="false">CONCATENATE("B",IF(Data!G197&lt;0,"-",""),TEXT(ABS(Data!G197),"0.0000"))</f>
        <v>B-3.3261</v>
      </c>
      <c r="G208" s="16" t="str">
        <f aca="false">CONCATENATE("C",IF(Data!A197&lt;0,"-",""),TEXT(ABS(Data!A197),"0.0000"))</f>
        <v>C195.0000</v>
      </c>
    </row>
    <row r="209" customFormat="false" ht="15" hidden="false" customHeight="false" outlineLevel="0" collapsed="false">
      <c r="A209" s="16" t="s">
        <v>255</v>
      </c>
      <c r="B209" s="16" t="s">
        <v>56</v>
      </c>
      <c r="C209" s="16" t="str">
        <f aca="false">CONCATENATE("X",IF(Data!D198&lt;0,"-",""),TEXT(ABS(Data!D198),"0.0000"))</f>
        <v>X-1.1199</v>
      </c>
      <c r="D209" s="16" t="str">
        <f aca="false">CONCATENATE("Y",IF(Data!E198&lt;0,"-",""),TEXT(ABS(Data!E198),"0.0000"))</f>
        <v>Y-0.3211</v>
      </c>
      <c r="E209" s="16" t="str">
        <f aca="false">CONCATENATE("Z",IF(Data!F198&lt;0,"-",""),TEXT(ABS(Data!F198),"0.0000"))</f>
        <v>Z-0.0099</v>
      </c>
      <c r="F209" s="16" t="str">
        <f aca="false">CONCATENATE("B",IF(Data!G198&lt;0,"-",""),TEXT(ABS(Data!G198),"0.0000"))</f>
        <v>B-3.5425</v>
      </c>
      <c r="G209" s="16" t="str">
        <f aca="false">CONCATENATE("C",IF(Data!A198&lt;0,"-",""),TEXT(ABS(Data!A198),"0.0000"))</f>
        <v>C196.0000</v>
      </c>
    </row>
    <row r="210" customFormat="false" ht="15" hidden="false" customHeight="false" outlineLevel="0" collapsed="false">
      <c r="A210" s="16" t="s">
        <v>256</v>
      </c>
      <c r="B210" s="16" t="s">
        <v>56</v>
      </c>
      <c r="C210" s="16" t="str">
        <f aca="false">CONCATENATE("X",IF(Data!D199&lt;0,"-",""),TEXT(ABS(Data!D199),"0.0000"))</f>
        <v>X-1.1141</v>
      </c>
      <c r="D210" s="16" t="str">
        <f aca="false">CONCATENATE("Y",IF(Data!E199&lt;0,"-",""),TEXT(ABS(Data!E199),"0.0000"))</f>
        <v>Y-0.3406</v>
      </c>
      <c r="E210" s="16" t="str">
        <f aca="false">CONCATENATE("Z",IF(Data!F199&lt;0,"-",""),TEXT(ABS(Data!F199),"0.0000"))</f>
        <v>Z-0.0112</v>
      </c>
      <c r="F210" s="16" t="str">
        <f aca="false">CONCATENATE("B",IF(Data!G199&lt;0,"-",""),TEXT(ABS(Data!G199),"0.0000"))</f>
        <v>B-3.7579</v>
      </c>
      <c r="G210" s="16" t="str">
        <f aca="false">CONCATENATE("C",IF(Data!A199&lt;0,"-",""),TEXT(ABS(Data!A199),"0.0000"))</f>
        <v>C197.0000</v>
      </c>
    </row>
    <row r="211" customFormat="false" ht="15" hidden="false" customHeight="false" outlineLevel="0" collapsed="false">
      <c r="A211" s="16" t="s">
        <v>257</v>
      </c>
      <c r="B211" s="16" t="s">
        <v>56</v>
      </c>
      <c r="C211" s="16" t="str">
        <f aca="false">CONCATENATE("X",IF(Data!D200&lt;0,"-",""),TEXT(ABS(Data!D200),"0.0000"))</f>
        <v>X-1.1080</v>
      </c>
      <c r="D211" s="16" t="str">
        <f aca="false">CONCATENATE("Y",IF(Data!E200&lt;0,"-",""),TEXT(ABS(Data!E200),"0.0000"))</f>
        <v>Y-0.3600</v>
      </c>
      <c r="E211" s="16" t="str">
        <f aca="false">CONCATENATE("Z",IF(Data!F200&lt;0,"-",""),TEXT(ABS(Data!F200),"0.0000"))</f>
        <v>Z-0.0125</v>
      </c>
      <c r="F211" s="16" t="str">
        <f aca="false">CONCATENATE("B",IF(Data!G200&lt;0,"-",""),TEXT(ABS(Data!G200),"0.0000"))</f>
        <v>B-3.9722</v>
      </c>
      <c r="G211" s="16" t="str">
        <f aca="false">CONCATENATE("C",IF(Data!A200&lt;0,"-",""),TEXT(ABS(Data!A200),"0.0000"))</f>
        <v>C198.0000</v>
      </c>
    </row>
    <row r="212" customFormat="false" ht="15" hidden="false" customHeight="false" outlineLevel="0" collapsed="false">
      <c r="A212" s="16" t="s">
        <v>258</v>
      </c>
      <c r="B212" s="16" t="s">
        <v>56</v>
      </c>
      <c r="C212" s="16" t="str">
        <f aca="false">CONCATENATE("X",IF(Data!D201&lt;0,"-",""),TEXT(ABS(Data!D201),"0.0000"))</f>
        <v>X-1.1015</v>
      </c>
      <c r="D212" s="16" t="str">
        <f aca="false">CONCATENATE("Y",IF(Data!E201&lt;0,"-",""),TEXT(ABS(Data!E201),"0.0000"))</f>
        <v>Y-0.3793</v>
      </c>
      <c r="E212" s="16" t="str">
        <f aca="false">CONCATENATE("Z",IF(Data!F201&lt;0,"-",""),TEXT(ABS(Data!F201),"0.0000"))</f>
        <v>Z-0.0139</v>
      </c>
      <c r="F212" s="16" t="str">
        <f aca="false">CONCATENATE("B",IF(Data!G201&lt;0,"-",""),TEXT(ABS(Data!G201),"0.0000"))</f>
        <v>B-4.1853</v>
      </c>
      <c r="G212" s="16" t="str">
        <f aca="false">CONCATENATE("C",IF(Data!A201&lt;0,"-",""),TEXT(ABS(Data!A201),"0.0000"))</f>
        <v>C199.0000</v>
      </c>
    </row>
    <row r="213" customFormat="false" ht="15" hidden="false" customHeight="false" outlineLevel="0" collapsed="false">
      <c r="A213" s="16" t="s">
        <v>259</v>
      </c>
      <c r="B213" s="16" t="s">
        <v>56</v>
      </c>
      <c r="C213" s="16" t="str">
        <f aca="false">CONCATENATE("X",IF(Data!D202&lt;0,"-",""),TEXT(ABS(Data!D202),"0.0000"))</f>
        <v>X-1.0947</v>
      </c>
      <c r="D213" s="16" t="str">
        <f aca="false">CONCATENATE("Y",IF(Data!E202&lt;0,"-",""),TEXT(ABS(Data!E202),"0.0000"))</f>
        <v>Y-0.3985</v>
      </c>
      <c r="E213" s="16" t="str">
        <f aca="false">CONCATENATE("Z",IF(Data!F202&lt;0,"-",""),TEXT(ABS(Data!F202),"0.0000"))</f>
        <v>Z-0.0153</v>
      </c>
      <c r="F213" s="16" t="str">
        <f aca="false">CONCATENATE("B",IF(Data!G202&lt;0,"-",""),TEXT(ABS(Data!G202),"0.0000"))</f>
        <v>B-4.3972</v>
      </c>
      <c r="G213" s="16" t="str">
        <f aca="false">CONCATENATE("C",IF(Data!A202&lt;0,"-",""),TEXT(ABS(Data!A202),"0.0000"))</f>
        <v>C200.0000</v>
      </c>
    </row>
    <row r="214" customFormat="false" ht="15" hidden="false" customHeight="false" outlineLevel="0" collapsed="false">
      <c r="A214" s="16" t="s">
        <v>260</v>
      </c>
      <c r="B214" s="16" t="s">
        <v>56</v>
      </c>
      <c r="C214" s="16" t="str">
        <f aca="false">CONCATENATE("X",IF(Data!D203&lt;0,"-",""),TEXT(ABS(Data!D203),"0.0000"))</f>
        <v>X-1.0876</v>
      </c>
      <c r="D214" s="16" t="str">
        <f aca="false">CONCATENATE("Y",IF(Data!E203&lt;0,"-",""),TEXT(ABS(Data!E203),"0.0000"))</f>
        <v>Y-0.4175</v>
      </c>
      <c r="E214" s="16" t="str">
        <f aca="false">CONCATENATE("Z",IF(Data!F203&lt;0,"-",""),TEXT(ABS(Data!F203),"0.0000"))</f>
        <v>Z-0.0168</v>
      </c>
      <c r="F214" s="16" t="str">
        <f aca="false">CONCATENATE("B",IF(Data!G203&lt;0,"-",""),TEXT(ABS(Data!G203),"0.0000"))</f>
        <v>B-4.6078</v>
      </c>
      <c r="G214" s="16" t="str">
        <f aca="false">CONCATENATE("C",IF(Data!A203&lt;0,"-",""),TEXT(ABS(Data!A203),"0.0000"))</f>
        <v>C201.0000</v>
      </c>
    </row>
    <row r="215" customFormat="false" ht="15" hidden="false" customHeight="false" outlineLevel="0" collapsed="false">
      <c r="A215" s="16" t="s">
        <v>261</v>
      </c>
      <c r="B215" s="16" t="s">
        <v>56</v>
      </c>
      <c r="C215" s="16" t="str">
        <f aca="false">CONCATENATE("X",IF(Data!D204&lt;0,"-",""),TEXT(ABS(Data!D204),"0.0000"))</f>
        <v>X-1.0802</v>
      </c>
      <c r="D215" s="16" t="str">
        <f aca="false">CONCATENATE("Y",IF(Data!E204&lt;0,"-",""),TEXT(ABS(Data!E204),"0.0000"))</f>
        <v>Y-0.4364</v>
      </c>
      <c r="E215" s="16" t="str">
        <f aca="false">CONCATENATE("Z",IF(Data!F204&lt;0,"-",""),TEXT(ABS(Data!F204),"0.0000"))</f>
        <v>Z-0.0184</v>
      </c>
      <c r="F215" s="16" t="str">
        <f aca="false">CONCATENATE("B",IF(Data!G204&lt;0,"-",""),TEXT(ABS(Data!G204),"0.0000"))</f>
        <v>B-4.8171</v>
      </c>
      <c r="G215" s="16" t="str">
        <f aca="false">CONCATENATE("C",IF(Data!A204&lt;0,"-",""),TEXT(ABS(Data!A204),"0.0000"))</f>
        <v>C202.0000</v>
      </c>
    </row>
    <row r="216" customFormat="false" ht="15" hidden="false" customHeight="false" outlineLevel="0" collapsed="false">
      <c r="A216" s="16" t="s">
        <v>262</v>
      </c>
      <c r="B216" s="16" t="s">
        <v>56</v>
      </c>
      <c r="C216" s="16" t="str">
        <f aca="false">CONCATENATE("X",IF(Data!D205&lt;0,"-",""),TEXT(ABS(Data!D205),"0.0000"))</f>
        <v>X-1.0724</v>
      </c>
      <c r="D216" s="16" t="str">
        <f aca="false">CONCATENATE("Y",IF(Data!E205&lt;0,"-",""),TEXT(ABS(Data!E205),"0.0000"))</f>
        <v>Y-0.4552</v>
      </c>
      <c r="E216" s="16" t="str">
        <f aca="false">CONCATENATE("Z",IF(Data!F205&lt;0,"-",""),TEXT(ABS(Data!F205),"0.0000"))</f>
        <v>Z-0.0200</v>
      </c>
      <c r="F216" s="16" t="str">
        <f aca="false">CONCATENATE("B",IF(Data!G205&lt;0,"-",""),TEXT(ABS(Data!G205),"0.0000"))</f>
        <v>B-5.0249</v>
      </c>
      <c r="G216" s="16" t="str">
        <f aca="false">CONCATENATE("C",IF(Data!A205&lt;0,"-",""),TEXT(ABS(Data!A205),"0.0000"))</f>
        <v>C203.0000</v>
      </c>
    </row>
    <row r="217" customFormat="false" ht="15" hidden="false" customHeight="false" outlineLevel="0" collapsed="false">
      <c r="A217" s="16" t="s">
        <v>263</v>
      </c>
      <c r="B217" s="16" t="s">
        <v>56</v>
      </c>
      <c r="C217" s="16" t="str">
        <f aca="false">CONCATENATE("X",IF(Data!D206&lt;0,"-",""),TEXT(ABS(Data!D206),"0.0000"))</f>
        <v>X-1.0643</v>
      </c>
      <c r="D217" s="16" t="str">
        <f aca="false">CONCATENATE("Y",IF(Data!E206&lt;0,"-",""),TEXT(ABS(Data!E206),"0.0000"))</f>
        <v>Y-0.4738</v>
      </c>
      <c r="E217" s="16" t="str">
        <f aca="false">CONCATENATE("Z",IF(Data!F206&lt;0,"-",""),TEXT(ABS(Data!F206),"0.0000"))</f>
        <v>Z-0.0216</v>
      </c>
      <c r="F217" s="16" t="str">
        <f aca="false">CONCATENATE("B",IF(Data!G206&lt;0,"-",""),TEXT(ABS(Data!G206),"0.0000"))</f>
        <v>B-5.2313</v>
      </c>
      <c r="G217" s="16" t="str">
        <f aca="false">CONCATENATE("C",IF(Data!A206&lt;0,"-",""),TEXT(ABS(Data!A206),"0.0000"))</f>
        <v>C204.0000</v>
      </c>
    </row>
    <row r="218" customFormat="false" ht="15" hidden="false" customHeight="false" outlineLevel="0" collapsed="false">
      <c r="A218" s="16" t="s">
        <v>264</v>
      </c>
      <c r="B218" s="16" t="s">
        <v>56</v>
      </c>
      <c r="C218" s="16" t="str">
        <f aca="false">CONCATENATE("X",IF(Data!D207&lt;0,"-",""),TEXT(ABS(Data!D207),"0.0000"))</f>
        <v>X-1.0558</v>
      </c>
      <c r="D218" s="16" t="str">
        <f aca="false">CONCATENATE("Y",IF(Data!E207&lt;0,"-",""),TEXT(ABS(Data!E207),"0.0000"))</f>
        <v>Y-0.4924</v>
      </c>
      <c r="E218" s="16" t="str">
        <f aca="false">CONCATENATE("Z",IF(Data!F207&lt;0,"-",""),TEXT(ABS(Data!F207),"0.0000"))</f>
        <v>Z-0.0234</v>
      </c>
      <c r="F218" s="16" t="str">
        <f aca="false">CONCATENATE("B",IF(Data!G207&lt;0,"-",""),TEXT(ABS(Data!G207),"0.0000"))</f>
        <v>B-5.4362</v>
      </c>
      <c r="G218" s="16" t="str">
        <f aca="false">CONCATENATE("C",IF(Data!A207&lt;0,"-",""),TEXT(ABS(Data!A207),"0.0000"))</f>
        <v>C205.0000</v>
      </c>
    </row>
    <row r="219" customFormat="false" ht="15" hidden="false" customHeight="false" outlineLevel="0" collapsed="false">
      <c r="A219" s="16" t="s">
        <v>265</v>
      </c>
      <c r="B219" s="16" t="s">
        <v>56</v>
      </c>
      <c r="C219" s="16" t="str">
        <f aca="false">CONCATENATE("X",IF(Data!D208&lt;0,"-",""),TEXT(ABS(Data!D208),"0.0000"))</f>
        <v>X-1.0471</v>
      </c>
      <c r="D219" s="16" t="str">
        <f aca="false">CONCATENATE("Y",IF(Data!E208&lt;0,"-",""),TEXT(ABS(Data!E208),"0.0000"))</f>
        <v>Y-0.5107</v>
      </c>
      <c r="E219" s="16" t="str">
        <f aca="false">CONCATENATE("Z",IF(Data!F208&lt;0,"-",""),TEXT(ABS(Data!F208),"0.0000"))</f>
        <v>Z-0.0252</v>
      </c>
      <c r="F219" s="16" t="str">
        <f aca="false">CONCATENATE("B",IF(Data!G208&lt;0,"-",""),TEXT(ABS(Data!G208),"0.0000"))</f>
        <v>B-5.6395</v>
      </c>
      <c r="G219" s="16" t="str">
        <f aca="false">CONCATENATE("C",IF(Data!A208&lt;0,"-",""),TEXT(ABS(Data!A208),"0.0000"))</f>
        <v>C206.0000</v>
      </c>
    </row>
    <row r="220" customFormat="false" ht="15" hidden="false" customHeight="false" outlineLevel="0" collapsed="false">
      <c r="A220" s="16" t="s">
        <v>266</v>
      </c>
      <c r="B220" s="16" t="s">
        <v>56</v>
      </c>
      <c r="C220" s="16" t="str">
        <f aca="false">CONCATENATE("X",IF(Data!D209&lt;0,"-",""),TEXT(ABS(Data!D209),"0.0000"))</f>
        <v>X-1.0380</v>
      </c>
      <c r="D220" s="16" t="str">
        <f aca="false">CONCATENATE("Y",IF(Data!E209&lt;0,"-",""),TEXT(ABS(Data!E209),"0.0000"))</f>
        <v>Y-0.5289</v>
      </c>
      <c r="E220" s="16" t="str">
        <f aca="false">CONCATENATE("Z",IF(Data!F209&lt;0,"-",""),TEXT(ABS(Data!F209),"0.0000"))</f>
        <v>Z-0.0270</v>
      </c>
      <c r="F220" s="16" t="str">
        <f aca="false">CONCATENATE("B",IF(Data!G209&lt;0,"-",""),TEXT(ABS(Data!G209),"0.0000"))</f>
        <v>B-5.8411</v>
      </c>
      <c r="G220" s="16" t="str">
        <f aca="false">CONCATENATE("C",IF(Data!A209&lt;0,"-",""),TEXT(ABS(Data!A209),"0.0000"))</f>
        <v>C207.0000</v>
      </c>
    </row>
    <row r="221" customFormat="false" ht="15" hidden="false" customHeight="false" outlineLevel="0" collapsed="false">
      <c r="A221" s="16" t="s">
        <v>267</v>
      </c>
      <c r="B221" s="16" t="s">
        <v>56</v>
      </c>
      <c r="C221" s="16" t="str">
        <f aca="false">CONCATENATE("X",IF(Data!D210&lt;0,"-",""),TEXT(ABS(Data!D210),"0.0000"))</f>
        <v>X-1.0286</v>
      </c>
      <c r="D221" s="16" t="str">
        <f aca="false">CONCATENATE("Y",IF(Data!E210&lt;0,"-",""),TEXT(ABS(Data!E210),"0.0000"))</f>
        <v>Y-0.5469</v>
      </c>
      <c r="E221" s="16" t="str">
        <f aca="false">CONCATENATE("Z",IF(Data!F210&lt;0,"-",""),TEXT(ABS(Data!F210),"0.0000"))</f>
        <v>Z-0.0289</v>
      </c>
      <c r="F221" s="16" t="str">
        <f aca="false">CONCATENATE("B",IF(Data!G210&lt;0,"-",""),TEXT(ABS(Data!G210),"0.0000"))</f>
        <v>B-6.0410</v>
      </c>
      <c r="G221" s="16" t="str">
        <f aca="false">CONCATENATE("C",IF(Data!A210&lt;0,"-",""),TEXT(ABS(Data!A210),"0.0000"))</f>
        <v>C208.0000</v>
      </c>
    </row>
    <row r="222" customFormat="false" ht="15" hidden="false" customHeight="false" outlineLevel="0" collapsed="false">
      <c r="A222" s="16" t="s">
        <v>268</v>
      </c>
      <c r="B222" s="16" t="s">
        <v>56</v>
      </c>
      <c r="C222" s="16" t="str">
        <f aca="false">CONCATENATE("X",IF(Data!D211&lt;0,"-",""),TEXT(ABS(Data!D211),"0.0000"))</f>
        <v>X-1.0189</v>
      </c>
      <c r="D222" s="16" t="str">
        <f aca="false">CONCATENATE("Y",IF(Data!E211&lt;0,"-",""),TEXT(ABS(Data!E211),"0.0000"))</f>
        <v>Y-0.5648</v>
      </c>
      <c r="E222" s="16" t="str">
        <f aca="false">CONCATENATE("Z",IF(Data!F211&lt;0,"-",""),TEXT(ABS(Data!F211),"0.0000"))</f>
        <v>Z-0.0308</v>
      </c>
      <c r="F222" s="16" t="str">
        <f aca="false">CONCATENATE("B",IF(Data!G211&lt;0,"-",""),TEXT(ABS(Data!G211),"0.0000"))</f>
        <v>B-6.2392</v>
      </c>
      <c r="G222" s="16" t="str">
        <f aca="false">CONCATENATE("C",IF(Data!A211&lt;0,"-",""),TEXT(ABS(Data!A211),"0.0000"))</f>
        <v>C209.0000</v>
      </c>
    </row>
    <row r="223" customFormat="false" ht="15" hidden="false" customHeight="false" outlineLevel="0" collapsed="false">
      <c r="A223" s="16" t="s">
        <v>269</v>
      </c>
      <c r="B223" s="16" t="s">
        <v>56</v>
      </c>
      <c r="C223" s="16" t="str">
        <f aca="false">CONCATENATE("X",IF(Data!D212&lt;0,"-",""),TEXT(ABS(Data!D212),"0.0000"))</f>
        <v>X-1.0089</v>
      </c>
      <c r="D223" s="16" t="str">
        <f aca="false">CONCATENATE("Y",IF(Data!E212&lt;0,"-",""),TEXT(ABS(Data!E212),"0.0000"))</f>
        <v>Y-0.5825</v>
      </c>
      <c r="E223" s="16" t="str">
        <f aca="false">CONCATENATE("Z",IF(Data!F212&lt;0,"-",""),TEXT(ABS(Data!F212),"0.0000"))</f>
        <v>Z-0.0327</v>
      </c>
      <c r="F223" s="16" t="str">
        <f aca="false">CONCATENATE("B",IF(Data!G212&lt;0,"-",""),TEXT(ABS(Data!G212),"0.0000"))</f>
        <v>B-6.4355</v>
      </c>
      <c r="G223" s="16" t="str">
        <f aca="false">CONCATENATE("C",IF(Data!A212&lt;0,"-",""),TEXT(ABS(Data!A212),"0.0000"))</f>
        <v>C210.0000</v>
      </c>
    </row>
    <row r="224" customFormat="false" ht="15" hidden="false" customHeight="false" outlineLevel="0" collapsed="false">
      <c r="A224" s="16" t="s">
        <v>270</v>
      </c>
      <c r="B224" s="16" t="s">
        <v>56</v>
      </c>
      <c r="C224" s="16" t="str">
        <f aca="false">CONCATENATE("X",IF(Data!D213&lt;0,"-",""),TEXT(ABS(Data!D213),"0.0000"))</f>
        <v>X-0.9986</v>
      </c>
      <c r="D224" s="16" t="str">
        <f aca="false">CONCATENATE("Y",IF(Data!E213&lt;0,"-",""),TEXT(ABS(Data!E213),"0.0000"))</f>
        <v>Y-0.6000</v>
      </c>
      <c r="E224" s="16" t="str">
        <f aca="false">CONCATENATE("Z",IF(Data!F213&lt;0,"-",""),TEXT(ABS(Data!F213),"0.0000"))</f>
        <v>Z-0.0348</v>
      </c>
      <c r="F224" s="16" t="str">
        <f aca="false">CONCATENATE("B",IF(Data!G213&lt;0,"-",""),TEXT(ABS(Data!G213),"0.0000"))</f>
        <v>B-6.6299</v>
      </c>
      <c r="G224" s="16" t="str">
        <f aca="false">CONCATENATE("C",IF(Data!A213&lt;0,"-",""),TEXT(ABS(Data!A213),"0.0000"))</f>
        <v>C211.0000</v>
      </c>
    </row>
    <row r="225" customFormat="false" ht="15" hidden="false" customHeight="false" outlineLevel="0" collapsed="false">
      <c r="A225" s="16" t="s">
        <v>271</v>
      </c>
      <c r="B225" s="16" t="s">
        <v>56</v>
      </c>
      <c r="C225" s="16" t="str">
        <f aca="false">CONCATENATE("X",IF(Data!D214&lt;0,"-",""),TEXT(ABS(Data!D214),"0.0000"))</f>
        <v>X-0.9880</v>
      </c>
      <c r="D225" s="16" t="str">
        <f aca="false">CONCATENATE("Y",IF(Data!E214&lt;0,"-",""),TEXT(ABS(Data!E214),"0.0000"))</f>
        <v>Y-0.6174</v>
      </c>
      <c r="E225" s="16" t="str">
        <f aca="false">CONCATENATE("Z",IF(Data!F214&lt;0,"-",""),TEXT(ABS(Data!F214),"0.0000"))</f>
        <v>Z-0.0368</v>
      </c>
      <c r="F225" s="16" t="str">
        <f aca="false">CONCATENATE("B",IF(Data!G214&lt;0,"-",""),TEXT(ABS(Data!G214),"0.0000"))</f>
        <v>B-6.8223</v>
      </c>
      <c r="G225" s="16" t="str">
        <f aca="false">CONCATENATE("C",IF(Data!A214&lt;0,"-",""),TEXT(ABS(Data!A214),"0.0000"))</f>
        <v>C212.0000</v>
      </c>
    </row>
    <row r="226" customFormat="false" ht="15" hidden="false" customHeight="false" outlineLevel="0" collapsed="false">
      <c r="A226" s="16" t="s">
        <v>272</v>
      </c>
      <c r="B226" s="16" t="s">
        <v>56</v>
      </c>
      <c r="C226" s="16" t="str">
        <f aca="false">CONCATENATE("X",IF(Data!D215&lt;0,"-",""),TEXT(ABS(Data!D215),"0.0000"))</f>
        <v>X-0.9771</v>
      </c>
      <c r="D226" s="16" t="str">
        <f aca="false">CONCATENATE("Y",IF(Data!E215&lt;0,"-",""),TEXT(ABS(Data!E215),"0.0000"))</f>
        <v>Y-0.6345</v>
      </c>
      <c r="E226" s="16" t="str">
        <f aca="false">CONCATENATE("Z",IF(Data!F215&lt;0,"-",""),TEXT(ABS(Data!F215),"0.0000"))</f>
        <v>Z-0.0389</v>
      </c>
      <c r="F226" s="16" t="str">
        <f aca="false">CONCATENATE("B",IF(Data!G215&lt;0,"-",""),TEXT(ABS(Data!G215),"0.0000"))</f>
        <v>B-7.0128</v>
      </c>
      <c r="G226" s="16" t="str">
        <f aca="false">CONCATENATE("C",IF(Data!A215&lt;0,"-",""),TEXT(ABS(Data!A215),"0.0000"))</f>
        <v>C213.0000</v>
      </c>
    </row>
    <row r="227" customFormat="false" ht="15" hidden="false" customHeight="false" outlineLevel="0" collapsed="false">
      <c r="A227" s="16" t="s">
        <v>273</v>
      </c>
      <c r="B227" s="16" t="s">
        <v>56</v>
      </c>
      <c r="C227" s="16" t="str">
        <f aca="false">CONCATENATE("X",IF(Data!D216&lt;0,"-",""),TEXT(ABS(Data!D216),"0.0000"))</f>
        <v>X-0.9658</v>
      </c>
      <c r="D227" s="16" t="str">
        <f aca="false">CONCATENATE("Y",IF(Data!E216&lt;0,"-",""),TEXT(ABS(Data!E216),"0.0000"))</f>
        <v>Y-0.6515</v>
      </c>
      <c r="E227" s="16" t="str">
        <f aca="false">CONCATENATE("Z",IF(Data!F216&lt;0,"-",""),TEXT(ABS(Data!F216),"0.0000"))</f>
        <v>Z-0.0410</v>
      </c>
      <c r="F227" s="16" t="str">
        <f aca="false">CONCATENATE("B",IF(Data!G216&lt;0,"-",""),TEXT(ABS(Data!G216),"0.0000"))</f>
        <v>B-7.2011</v>
      </c>
      <c r="G227" s="16" t="str">
        <f aca="false">CONCATENATE("C",IF(Data!A216&lt;0,"-",""),TEXT(ABS(Data!A216),"0.0000"))</f>
        <v>C214.0000</v>
      </c>
    </row>
    <row r="228" customFormat="false" ht="15" hidden="false" customHeight="false" outlineLevel="0" collapsed="false">
      <c r="A228" s="16" t="s">
        <v>274</v>
      </c>
      <c r="B228" s="16" t="s">
        <v>56</v>
      </c>
      <c r="C228" s="16" t="str">
        <f aca="false">CONCATENATE("X",IF(Data!D217&lt;0,"-",""),TEXT(ABS(Data!D217),"0.0000"))</f>
        <v>X-0.9543</v>
      </c>
      <c r="D228" s="16" t="str">
        <f aca="false">CONCATENATE("Y",IF(Data!E217&lt;0,"-",""),TEXT(ABS(Data!E217),"0.0000"))</f>
        <v>Y-0.6682</v>
      </c>
      <c r="E228" s="16" t="str">
        <f aca="false">CONCATENATE("Z",IF(Data!F217&lt;0,"-",""),TEXT(ABS(Data!F217),"0.0000"))</f>
        <v>Z-0.0431</v>
      </c>
      <c r="F228" s="16" t="str">
        <f aca="false">CONCATENATE("B",IF(Data!G217&lt;0,"-",""),TEXT(ABS(Data!G217),"0.0000"))</f>
        <v>B-7.3874</v>
      </c>
      <c r="G228" s="16" t="str">
        <f aca="false">CONCATENATE("C",IF(Data!A217&lt;0,"-",""),TEXT(ABS(Data!A217),"0.0000"))</f>
        <v>C215.0000</v>
      </c>
    </row>
    <row r="229" customFormat="false" ht="15" hidden="false" customHeight="false" outlineLevel="0" collapsed="false">
      <c r="A229" s="16" t="s">
        <v>275</v>
      </c>
      <c r="B229" s="16" t="s">
        <v>56</v>
      </c>
      <c r="C229" s="16" t="str">
        <f aca="false">CONCATENATE("X",IF(Data!D218&lt;0,"-",""),TEXT(ABS(Data!D218),"0.0000"))</f>
        <v>X-0.9425</v>
      </c>
      <c r="D229" s="16" t="str">
        <f aca="false">CONCATENATE("Y",IF(Data!E218&lt;0,"-",""),TEXT(ABS(Data!E218),"0.0000"))</f>
        <v>Y-0.6848</v>
      </c>
      <c r="E229" s="16" t="str">
        <f aca="false">CONCATENATE("Z",IF(Data!F218&lt;0,"-",""),TEXT(ABS(Data!F218),"0.0000"))</f>
        <v>Z-0.0453</v>
      </c>
      <c r="F229" s="16" t="str">
        <f aca="false">CONCATENATE("B",IF(Data!G218&lt;0,"-",""),TEXT(ABS(Data!G218),"0.0000"))</f>
        <v>B-7.5715</v>
      </c>
      <c r="G229" s="16" t="str">
        <f aca="false">CONCATENATE("C",IF(Data!A218&lt;0,"-",""),TEXT(ABS(Data!A218),"0.0000"))</f>
        <v>C216.0000</v>
      </c>
    </row>
    <row r="230" customFormat="false" ht="15" hidden="false" customHeight="false" outlineLevel="0" collapsed="false">
      <c r="A230" s="16" t="s">
        <v>276</v>
      </c>
      <c r="B230" s="16" t="s">
        <v>56</v>
      </c>
      <c r="C230" s="16" t="str">
        <f aca="false">CONCATENATE("X",IF(Data!D219&lt;0,"-",""),TEXT(ABS(Data!D219),"0.0000"))</f>
        <v>X-0.9304</v>
      </c>
      <c r="D230" s="16" t="str">
        <f aca="false">CONCATENATE("Y",IF(Data!E219&lt;0,"-",""),TEXT(ABS(Data!E219),"0.0000"))</f>
        <v>Y-0.7011</v>
      </c>
      <c r="E230" s="16" t="str">
        <f aca="false">CONCATENATE("Z",IF(Data!F219&lt;0,"-",""),TEXT(ABS(Data!F219),"0.0000"))</f>
        <v>Z-0.0475</v>
      </c>
      <c r="F230" s="16" t="str">
        <f aca="false">CONCATENATE("B",IF(Data!G219&lt;0,"-",""),TEXT(ABS(Data!G219),"0.0000"))</f>
        <v>B-7.7533</v>
      </c>
      <c r="G230" s="16" t="str">
        <f aca="false">CONCATENATE("C",IF(Data!A219&lt;0,"-",""),TEXT(ABS(Data!A219),"0.0000"))</f>
        <v>C217.0000</v>
      </c>
    </row>
    <row r="231" customFormat="false" ht="15" hidden="false" customHeight="false" outlineLevel="0" collapsed="false">
      <c r="A231" s="16" t="s">
        <v>277</v>
      </c>
      <c r="B231" s="16" t="s">
        <v>56</v>
      </c>
      <c r="C231" s="16" t="str">
        <f aca="false">CONCATENATE("X",IF(Data!D220&lt;0,"-",""),TEXT(ABS(Data!D220),"0.0000"))</f>
        <v>X-0.9180</v>
      </c>
      <c r="D231" s="16" t="str">
        <f aca="false">CONCATENATE("Y",IF(Data!E220&lt;0,"-",""),TEXT(ABS(Data!E220),"0.0000"))</f>
        <v>Y-0.7172</v>
      </c>
      <c r="E231" s="16" t="str">
        <f aca="false">CONCATENATE("Z",IF(Data!F220&lt;0,"-",""),TEXT(ABS(Data!F220),"0.0000"))</f>
        <v>Z-0.0497</v>
      </c>
      <c r="F231" s="16" t="str">
        <f aca="false">CONCATENATE("B",IF(Data!G220&lt;0,"-",""),TEXT(ABS(Data!G220),"0.0000"))</f>
        <v>B-7.9328</v>
      </c>
      <c r="G231" s="16" t="str">
        <f aca="false">CONCATENATE("C",IF(Data!A220&lt;0,"-",""),TEXT(ABS(Data!A220),"0.0000"))</f>
        <v>C218.0000</v>
      </c>
    </row>
    <row r="232" customFormat="false" ht="15" hidden="false" customHeight="false" outlineLevel="0" collapsed="false">
      <c r="A232" s="16" t="s">
        <v>278</v>
      </c>
      <c r="B232" s="16" t="s">
        <v>56</v>
      </c>
      <c r="C232" s="16" t="str">
        <f aca="false">CONCATENATE("X",IF(Data!D221&lt;0,"-",""),TEXT(ABS(Data!D221),"0.0000"))</f>
        <v>X-0.9054</v>
      </c>
      <c r="D232" s="16" t="str">
        <f aca="false">CONCATENATE("Y",IF(Data!E221&lt;0,"-",""),TEXT(ABS(Data!E221),"0.0000"))</f>
        <v>Y-0.7332</v>
      </c>
      <c r="E232" s="16" t="str">
        <f aca="false">CONCATENATE("Z",IF(Data!F221&lt;0,"-",""),TEXT(ABS(Data!F221),"0.0000"))</f>
        <v>Z-0.0520</v>
      </c>
      <c r="F232" s="16" t="str">
        <f aca="false">CONCATENATE("B",IF(Data!G221&lt;0,"-",""),TEXT(ABS(Data!G221),"0.0000"))</f>
        <v>B-8.1100</v>
      </c>
      <c r="G232" s="16" t="str">
        <f aca="false">CONCATENATE("C",IF(Data!A221&lt;0,"-",""),TEXT(ABS(Data!A221),"0.0000"))</f>
        <v>C219.0000</v>
      </c>
    </row>
    <row r="233" customFormat="false" ht="15" hidden="false" customHeight="false" outlineLevel="0" collapsed="false">
      <c r="A233" s="16" t="s">
        <v>279</v>
      </c>
      <c r="B233" s="16" t="s">
        <v>56</v>
      </c>
      <c r="C233" s="16" t="str">
        <f aca="false">CONCATENATE("X",IF(Data!D222&lt;0,"-",""),TEXT(ABS(Data!D222),"0.0000"))</f>
        <v>X-0.8924</v>
      </c>
      <c r="D233" s="16" t="str">
        <f aca="false">CONCATENATE("Y",IF(Data!E222&lt;0,"-",""),TEXT(ABS(Data!E222),"0.0000"))</f>
        <v>Y-0.7488</v>
      </c>
      <c r="E233" s="16" t="str">
        <f aca="false">CONCATENATE("Z",IF(Data!F222&lt;0,"-",""),TEXT(ABS(Data!F222),"0.0000"))</f>
        <v>Z-0.0542</v>
      </c>
      <c r="F233" s="16" t="str">
        <f aca="false">CONCATENATE("B",IF(Data!G222&lt;0,"-",""),TEXT(ABS(Data!G222),"0.0000"))</f>
        <v>B-8.2847</v>
      </c>
      <c r="G233" s="16" t="str">
        <f aca="false">CONCATENATE("C",IF(Data!A222&lt;0,"-",""),TEXT(ABS(Data!A222),"0.0000"))</f>
        <v>C220.0000</v>
      </c>
    </row>
    <row r="234" customFormat="false" ht="15" hidden="false" customHeight="false" outlineLevel="0" collapsed="false">
      <c r="A234" s="16" t="s">
        <v>280</v>
      </c>
      <c r="B234" s="16" t="s">
        <v>56</v>
      </c>
      <c r="C234" s="16" t="str">
        <f aca="false">CONCATENATE("X",IF(Data!D223&lt;0,"-",""),TEXT(ABS(Data!D223),"0.0000"))</f>
        <v>X-0.8792</v>
      </c>
      <c r="D234" s="16" t="str">
        <f aca="false">CONCATENATE("Y",IF(Data!E223&lt;0,"-",""),TEXT(ABS(Data!E223),"0.0000"))</f>
        <v>Y-0.7643</v>
      </c>
      <c r="E234" s="16" t="str">
        <f aca="false">CONCATENATE("Z",IF(Data!F223&lt;0,"-",""),TEXT(ABS(Data!F223),"0.0000"))</f>
        <v>Z-0.0565</v>
      </c>
      <c r="F234" s="16" t="str">
        <f aca="false">CONCATENATE("B",IF(Data!G223&lt;0,"-",""),TEXT(ABS(Data!G223),"0.0000"))</f>
        <v>B-8.4570</v>
      </c>
      <c r="G234" s="16" t="str">
        <f aca="false">CONCATENATE("C",IF(Data!A223&lt;0,"-",""),TEXT(ABS(Data!A223),"0.0000"))</f>
        <v>C221.0000</v>
      </c>
    </row>
    <row r="235" customFormat="false" ht="15" hidden="false" customHeight="false" outlineLevel="0" collapsed="false">
      <c r="A235" s="16" t="s">
        <v>281</v>
      </c>
      <c r="B235" s="16" t="s">
        <v>56</v>
      </c>
      <c r="C235" s="16" t="str">
        <f aca="false">CONCATENATE("X",IF(Data!D224&lt;0,"-",""),TEXT(ABS(Data!D224),"0.0000"))</f>
        <v>X-0.8658</v>
      </c>
      <c r="D235" s="16" t="str">
        <f aca="false">CONCATENATE("Y",IF(Data!E224&lt;0,"-",""),TEXT(ABS(Data!E224),"0.0000"))</f>
        <v>Y-0.7795</v>
      </c>
      <c r="E235" s="16" t="str">
        <f aca="false">CONCATENATE("Z",IF(Data!F224&lt;0,"-",""),TEXT(ABS(Data!F224),"0.0000"))</f>
        <v>Z-0.0588</v>
      </c>
      <c r="F235" s="16" t="str">
        <f aca="false">CONCATENATE("B",IF(Data!G224&lt;0,"-",""),TEXT(ABS(Data!G224),"0.0000"))</f>
        <v>B-8.6268</v>
      </c>
      <c r="G235" s="16" t="str">
        <f aca="false">CONCATENATE("C",IF(Data!A224&lt;0,"-",""),TEXT(ABS(Data!A224),"0.0000"))</f>
        <v>C222.0000</v>
      </c>
    </row>
    <row r="236" customFormat="false" ht="15" hidden="false" customHeight="false" outlineLevel="0" collapsed="false">
      <c r="A236" s="16" t="s">
        <v>282</v>
      </c>
      <c r="B236" s="16" t="s">
        <v>56</v>
      </c>
      <c r="C236" s="16" t="str">
        <f aca="false">CONCATENATE("X",IF(Data!D225&lt;0,"-",""),TEXT(ABS(Data!D225),"0.0000"))</f>
        <v>X-0.8520</v>
      </c>
      <c r="D236" s="16" t="str">
        <f aca="false">CONCATENATE("Y",IF(Data!E225&lt;0,"-",""),TEXT(ABS(Data!E225),"0.0000"))</f>
        <v>Y-0.7945</v>
      </c>
      <c r="E236" s="16" t="str">
        <f aca="false">CONCATENATE("Z",IF(Data!F225&lt;0,"-",""),TEXT(ABS(Data!F225),"0.0000"))</f>
        <v>Z-0.0611</v>
      </c>
      <c r="F236" s="16" t="str">
        <f aca="false">CONCATENATE("B",IF(Data!G225&lt;0,"-",""),TEXT(ABS(Data!G225),"0.0000"))</f>
        <v>B-8.7940</v>
      </c>
      <c r="G236" s="16" t="str">
        <f aca="false">CONCATENATE("C",IF(Data!A225&lt;0,"-",""),TEXT(ABS(Data!A225),"0.0000"))</f>
        <v>C223.0000</v>
      </c>
    </row>
    <row r="237" customFormat="false" ht="15" hidden="false" customHeight="false" outlineLevel="0" collapsed="false">
      <c r="A237" s="16" t="s">
        <v>283</v>
      </c>
      <c r="B237" s="16" t="s">
        <v>56</v>
      </c>
      <c r="C237" s="16" t="str">
        <f aca="false">CONCATENATE("X",IF(Data!D226&lt;0,"-",""),TEXT(ABS(Data!D226),"0.0000"))</f>
        <v>X-0.8380</v>
      </c>
      <c r="D237" s="16" t="str">
        <f aca="false">CONCATENATE("Y",IF(Data!E226&lt;0,"-",""),TEXT(ABS(Data!E226),"0.0000"))</f>
        <v>Y-0.8093</v>
      </c>
      <c r="E237" s="16" t="str">
        <f aca="false">CONCATENATE("Z",IF(Data!F226&lt;0,"-",""),TEXT(ABS(Data!F226),"0.0000"))</f>
        <v>Z-0.0634</v>
      </c>
      <c r="F237" s="16" t="str">
        <f aca="false">CONCATENATE("B",IF(Data!G226&lt;0,"-",""),TEXT(ABS(Data!G226),"0.0000"))</f>
        <v>B-8.9586</v>
      </c>
      <c r="G237" s="16" t="str">
        <f aca="false">CONCATENATE("C",IF(Data!A226&lt;0,"-",""),TEXT(ABS(Data!A226),"0.0000"))</f>
        <v>C224.0000</v>
      </c>
    </row>
    <row r="238" customFormat="false" ht="15" hidden="false" customHeight="false" outlineLevel="0" collapsed="false">
      <c r="A238" s="16" t="s">
        <v>284</v>
      </c>
      <c r="B238" s="16" t="s">
        <v>56</v>
      </c>
      <c r="C238" s="16" t="str">
        <f aca="false">CONCATENATE("X",IF(Data!D227&lt;0,"-",""),TEXT(ABS(Data!D227),"0.0000"))</f>
        <v>X-0.8238</v>
      </c>
      <c r="D238" s="16" t="str">
        <f aca="false">CONCATENATE("Y",IF(Data!E227&lt;0,"-",""),TEXT(ABS(Data!E227),"0.0000"))</f>
        <v>Y-0.8238</v>
      </c>
      <c r="E238" s="16" t="str">
        <f aca="false">CONCATENATE("Z",IF(Data!F227&lt;0,"-",""),TEXT(ABS(Data!F227),"0.0000"))</f>
        <v>Z-0.0657</v>
      </c>
      <c r="F238" s="16" t="str">
        <f aca="false">CONCATENATE("B",IF(Data!G227&lt;0,"-",""),TEXT(ABS(Data!G227),"0.0000"))</f>
        <v>B-9.1205</v>
      </c>
      <c r="G238" s="16" t="str">
        <f aca="false">CONCATENATE("C",IF(Data!A227&lt;0,"-",""),TEXT(ABS(Data!A227),"0.0000"))</f>
        <v>C225.0000</v>
      </c>
    </row>
    <row r="239" customFormat="false" ht="15" hidden="false" customHeight="false" outlineLevel="0" collapsed="false">
      <c r="A239" s="16" t="s">
        <v>285</v>
      </c>
      <c r="B239" s="16" t="s">
        <v>56</v>
      </c>
      <c r="C239" s="16" t="str">
        <f aca="false">CONCATENATE("X",IF(Data!D228&lt;0,"-",""),TEXT(ABS(Data!D228),"0.0000"))</f>
        <v>X-0.8093</v>
      </c>
      <c r="D239" s="16" t="str">
        <f aca="false">CONCATENATE("Y",IF(Data!E228&lt;0,"-",""),TEXT(ABS(Data!E228),"0.0000"))</f>
        <v>Y-0.8380</v>
      </c>
      <c r="E239" s="16" t="str">
        <f aca="false">CONCATENATE("Z",IF(Data!F228&lt;0,"-",""),TEXT(ABS(Data!F228),"0.0000"))</f>
        <v>Z-0.0680</v>
      </c>
      <c r="F239" s="16" t="str">
        <f aca="false">CONCATENATE("B",IF(Data!G228&lt;0,"-",""),TEXT(ABS(Data!G228),"0.0000"))</f>
        <v>B-9.2796</v>
      </c>
      <c r="G239" s="16" t="str">
        <f aca="false">CONCATENATE("C",IF(Data!A228&lt;0,"-",""),TEXT(ABS(Data!A228),"0.0000"))</f>
        <v>C226.0000</v>
      </c>
    </row>
    <row r="240" customFormat="false" ht="15" hidden="false" customHeight="false" outlineLevel="0" collapsed="false">
      <c r="A240" s="16" t="s">
        <v>286</v>
      </c>
      <c r="B240" s="16" t="s">
        <v>56</v>
      </c>
      <c r="C240" s="16" t="str">
        <f aca="false">CONCATENATE("X",IF(Data!D229&lt;0,"-",""),TEXT(ABS(Data!D229),"0.0000"))</f>
        <v>X-0.7945</v>
      </c>
      <c r="D240" s="16" t="str">
        <f aca="false">CONCATENATE("Y",IF(Data!E229&lt;0,"-",""),TEXT(ABS(Data!E229),"0.0000"))</f>
        <v>Y-0.8520</v>
      </c>
      <c r="E240" s="16" t="str">
        <f aca="false">CONCATENATE("Z",IF(Data!F229&lt;0,"-",""),TEXT(ABS(Data!F229),"0.0000"))</f>
        <v>Z-0.0703</v>
      </c>
      <c r="F240" s="16" t="str">
        <f aca="false">CONCATENATE("B",IF(Data!G229&lt;0,"-",""),TEXT(ABS(Data!G229),"0.0000"))</f>
        <v>B-9.4360</v>
      </c>
      <c r="G240" s="16" t="str">
        <f aca="false">CONCATENATE("C",IF(Data!A229&lt;0,"-",""),TEXT(ABS(Data!A229),"0.0000"))</f>
        <v>C227.0000</v>
      </c>
    </row>
    <row r="241" customFormat="false" ht="15" hidden="false" customHeight="false" outlineLevel="0" collapsed="false">
      <c r="A241" s="16" t="s">
        <v>287</v>
      </c>
      <c r="B241" s="16" t="s">
        <v>56</v>
      </c>
      <c r="C241" s="16" t="str">
        <f aca="false">CONCATENATE("X",IF(Data!D230&lt;0,"-",""),TEXT(ABS(Data!D230),"0.0000"))</f>
        <v>X-0.7795</v>
      </c>
      <c r="D241" s="16" t="str">
        <f aca="false">CONCATENATE("Y",IF(Data!E230&lt;0,"-",""),TEXT(ABS(Data!E230),"0.0000"))</f>
        <v>Y-0.8658</v>
      </c>
      <c r="E241" s="16" t="str">
        <f aca="false">CONCATENATE("Z",IF(Data!F230&lt;0,"-",""),TEXT(ABS(Data!F230),"0.0000"))</f>
        <v>Z-0.0726</v>
      </c>
      <c r="F241" s="16" t="str">
        <f aca="false">CONCATENATE("B",IF(Data!G230&lt;0,"-",""),TEXT(ABS(Data!G230),"0.0000"))</f>
        <v>B-9.5896</v>
      </c>
      <c r="G241" s="16" t="str">
        <f aca="false">CONCATENATE("C",IF(Data!A230&lt;0,"-",""),TEXT(ABS(Data!A230),"0.0000"))</f>
        <v>C228.0000</v>
      </c>
    </row>
    <row r="242" customFormat="false" ht="15" hidden="false" customHeight="false" outlineLevel="0" collapsed="false">
      <c r="A242" s="16" t="s">
        <v>288</v>
      </c>
      <c r="B242" s="16" t="s">
        <v>56</v>
      </c>
      <c r="C242" s="16" t="str">
        <f aca="false">CONCATENATE("X",IF(Data!D231&lt;0,"-",""),TEXT(ABS(Data!D231),"0.0000"))</f>
        <v>X-0.7643</v>
      </c>
      <c r="D242" s="16" t="str">
        <f aca="false">CONCATENATE("Y",IF(Data!E231&lt;0,"-",""),TEXT(ABS(Data!E231),"0.0000"))</f>
        <v>Y-0.8792</v>
      </c>
      <c r="E242" s="16" t="str">
        <f aca="false">CONCATENATE("Z",IF(Data!F231&lt;0,"-",""),TEXT(ABS(Data!F231),"0.0000"))</f>
        <v>Z-0.0749</v>
      </c>
      <c r="F242" s="16" t="str">
        <f aca="false">CONCATENATE("B",IF(Data!G231&lt;0,"-",""),TEXT(ABS(Data!G231),"0.0000"))</f>
        <v>B-9.7402</v>
      </c>
      <c r="G242" s="16" t="str">
        <f aca="false">CONCATENATE("C",IF(Data!A231&lt;0,"-",""),TEXT(ABS(Data!A231),"0.0000"))</f>
        <v>C229.0000</v>
      </c>
    </row>
    <row r="243" customFormat="false" ht="15" hidden="false" customHeight="false" outlineLevel="0" collapsed="false">
      <c r="A243" s="16" t="s">
        <v>289</v>
      </c>
      <c r="B243" s="16" t="s">
        <v>56</v>
      </c>
      <c r="C243" s="16" t="str">
        <f aca="false">CONCATENATE("X",IF(Data!D232&lt;0,"-",""),TEXT(ABS(Data!D232),"0.0000"))</f>
        <v>X-0.7488</v>
      </c>
      <c r="D243" s="16" t="str">
        <f aca="false">CONCATENATE("Y",IF(Data!E232&lt;0,"-",""),TEXT(ABS(Data!E232),"0.0000"))</f>
        <v>Y-0.8924</v>
      </c>
      <c r="E243" s="16" t="str">
        <f aca="false">CONCATENATE("Z",IF(Data!F232&lt;0,"-",""),TEXT(ABS(Data!F232),"0.0000"))</f>
        <v>Z-0.0772</v>
      </c>
      <c r="F243" s="16" t="str">
        <f aca="false">CONCATENATE("B",IF(Data!G232&lt;0,"-",""),TEXT(ABS(Data!G232),"0.0000"))</f>
        <v>B-9.8880</v>
      </c>
      <c r="G243" s="16" t="str">
        <f aca="false">CONCATENATE("C",IF(Data!A232&lt;0,"-",""),TEXT(ABS(Data!A232),"0.0000"))</f>
        <v>C230.0000</v>
      </c>
    </row>
    <row r="244" customFormat="false" ht="15" hidden="false" customHeight="false" outlineLevel="0" collapsed="false">
      <c r="A244" s="16" t="s">
        <v>290</v>
      </c>
      <c r="B244" s="16" t="s">
        <v>56</v>
      </c>
      <c r="C244" s="16" t="str">
        <f aca="false">CONCATENATE("X",IF(Data!D233&lt;0,"-",""),TEXT(ABS(Data!D233),"0.0000"))</f>
        <v>X-0.7332</v>
      </c>
      <c r="D244" s="16" t="str">
        <f aca="false">CONCATENATE("Y",IF(Data!E233&lt;0,"-",""),TEXT(ABS(Data!E233),"0.0000"))</f>
        <v>Y-0.9054</v>
      </c>
      <c r="E244" s="16" t="str">
        <f aca="false">CONCATENATE("Z",IF(Data!F233&lt;0,"-",""),TEXT(ABS(Data!F233),"0.0000"))</f>
        <v>Z-0.0795</v>
      </c>
      <c r="F244" s="16" t="str">
        <f aca="false">CONCATENATE("B",IF(Data!G233&lt;0,"-",""),TEXT(ABS(Data!G233),"0.0000"))</f>
        <v>B-10.0328</v>
      </c>
      <c r="G244" s="16" t="str">
        <f aca="false">CONCATENATE("C",IF(Data!A233&lt;0,"-",""),TEXT(ABS(Data!A233),"0.0000"))</f>
        <v>C231.0000</v>
      </c>
    </row>
    <row r="245" customFormat="false" ht="15" hidden="false" customHeight="false" outlineLevel="0" collapsed="false">
      <c r="A245" s="16" t="s">
        <v>291</v>
      </c>
      <c r="B245" s="16" t="s">
        <v>56</v>
      </c>
      <c r="C245" s="16" t="str">
        <f aca="false">CONCATENATE("X",IF(Data!D234&lt;0,"-",""),TEXT(ABS(Data!D234),"0.0000"))</f>
        <v>X-0.7172</v>
      </c>
      <c r="D245" s="16" t="str">
        <f aca="false">CONCATENATE("Y",IF(Data!E234&lt;0,"-",""),TEXT(ABS(Data!E234),"0.0000"))</f>
        <v>Y-0.9180</v>
      </c>
      <c r="E245" s="16" t="str">
        <f aca="false">CONCATENATE("Z",IF(Data!F234&lt;0,"-",""),TEXT(ABS(Data!F234),"0.0000"))</f>
        <v>Z-0.0817</v>
      </c>
      <c r="F245" s="16" t="str">
        <f aca="false">CONCATENATE("B",IF(Data!G234&lt;0,"-",""),TEXT(ABS(Data!G234),"0.0000"))</f>
        <v>B-10.1745</v>
      </c>
      <c r="G245" s="16" t="str">
        <f aca="false">CONCATENATE("C",IF(Data!A234&lt;0,"-",""),TEXT(ABS(Data!A234),"0.0000"))</f>
        <v>C232.0000</v>
      </c>
    </row>
    <row r="246" customFormat="false" ht="15" hidden="false" customHeight="false" outlineLevel="0" collapsed="false">
      <c r="A246" s="16" t="s">
        <v>292</v>
      </c>
      <c r="B246" s="16" t="s">
        <v>56</v>
      </c>
      <c r="C246" s="16" t="str">
        <f aca="false">CONCATENATE("X",IF(Data!D235&lt;0,"-",""),TEXT(ABS(Data!D235),"0.0000"))</f>
        <v>X-0.7011</v>
      </c>
      <c r="D246" s="16" t="str">
        <f aca="false">CONCATENATE("Y",IF(Data!E235&lt;0,"-",""),TEXT(ABS(Data!E235),"0.0000"))</f>
        <v>Y-0.9304</v>
      </c>
      <c r="E246" s="16" t="str">
        <f aca="false">CONCATENATE("Z",IF(Data!F235&lt;0,"-",""),TEXT(ABS(Data!F235),"0.0000"))</f>
        <v>Z-0.0840</v>
      </c>
      <c r="F246" s="16" t="str">
        <f aca="false">CONCATENATE("B",IF(Data!G235&lt;0,"-",""),TEXT(ABS(Data!G235),"0.0000"))</f>
        <v>B-10.3132</v>
      </c>
      <c r="G246" s="16" t="str">
        <f aca="false">CONCATENATE("C",IF(Data!A235&lt;0,"-",""),TEXT(ABS(Data!A235),"0.0000"))</f>
        <v>C233.0000</v>
      </c>
    </row>
    <row r="247" customFormat="false" ht="15" hidden="false" customHeight="false" outlineLevel="0" collapsed="false">
      <c r="A247" s="16" t="s">
        <v>293</v>
      </c>
      <c r="B247" s="16" t="s">
        <v>56</v>
      </c>
      <c r="C247" s="16" t="str">
        <f aca="false">CONCATENATE("X",IF(Data!D236&lt;0,"-",""),TEXT(ABS(Data!D236),"0.0000"))</f>
        <v>X-0.6848</v>
      </c>
      <c r="D247" s="16" t="str">
        <f aca="false">CONCATENATE("Y",IF(Data!E236&lt;0,"-",""),TEXT(ABS(Data!E236),"0.0000"))</f>
        <v>Y-0.9425</v>
      </c>
      <c r="E247" s="16" t="str">
        <f aca="false">CONCATENATE("Z",IF(Data!F236&lt;0,"-",""),TEXT(ABS(Data!F236),"0.0000"))</f>
        <v>Z-0.0862</v>
      </c>
      <c r="F247" s="16" t="str">
        <f aca="false">CONCATENATE("B",IF(Data!G236&lt;0,"-",""),TEXT(ABS(Data!G236),"0.0000"))</f>
        <v>B-10.4487</v>
      </c>
      <c r="G247" s="16" t="str">
        <f aca="false">CONCATENATE("C",IF(Data!A236&lt;0,"-",""),TEXT(ABS(Data!A236),"0.0000"))</f>
        <v>C234.0000</v>
      </c>
    </row>
    <row r="248" customFormat="false" ht="15" hidden="false" customHeight="false" outlineLevel="0" collapsed="false">
      <c r="A248" s="16" t="s">
        <v>294</v>
      </c>
      <c r="B248" s="16" t="s">
        <v>56</v>
      </c>
      <c r="C248" s="16" t="str">
        <f aca="false">CONCATENATE("X",IF(Data!D237&lt;0,"-",""),TEXT(ABS(Data!D237),"0.0000"))</f>
        <v>X-0.6682</v>
      </c>
      <c r="D248" s="16" t="str">
        <f aca="false">CONCATENATE("Y",IF(Data!E237&lt;0,"-",""),TEXT(ABS(Data!E237),"0.0000"))</f>
        <v>Y-0.9543</v>
      </c>
      <c r="E248" s="16" t="str">
        <f aca="false">CONCATENATE("Z",IF(Data!F237&lt;0,"-",""),TEXT(ABS(Data!F237),"0.0000"))</f>
        <v>Z-0.0884</v>
      </c>
      <c r="F248" s="16" t="str">
        <f aca="false">CONCATENATE("B",IF(Data!G237&lt;0,"-",""),TEXT(ABS(Data!G237),"0.0000"))</f>
        <v>B-10.5811</v>
      </c>
      <c r="G248" s="16" t="str">
        <f aca="false">CONCATENATE("C",IF(Data!A237&lt;0,"-",""),TEXT(ABS(Data!A237),"0.0000"))</f>
        <v>C235.0000</v>
      </c>
    </row>
    <row r="249" customFormat="false" ht="15" hidden="false" customHeight="false" outlineLevel="0" collapsed="false">
      <c r="A249" s="16" t="s">
        <v>295</v>
      </c>
      <c r="B249" s="16" t="s">
        <v>56</v>
      </c>
      <c r="C249" s="16" t="str">
        <f aca="false">CONCATENATE("X",IF(Data!D238&lt;0,"-",""),TEXT(ABS(Data!D238),"0.0000"))</f>
        <v>X-0.6515</v>
      </c>
      <c r="D249" s="16" t="str">
        <f aca="false">CONCATENATE("Y",IF(Data!E238&lt;0,"-",""),TEXT(ABS(Data!E238),"0.0000"))</f>
        <v>Y-0.9658</v>
      </c>
      <c r="E249" s="16" t="str">
        <f aca="false">CONCATENATE("Z",IF(Data!F238&lt;0,"-",""),TEXT(ABS(Data!F238),"0.0000"))</f>
        <v>Z-0.0905</v>
      </c>
      <c r="F249" s="16" t="str">
        <f aca="false">CONCATENATE("B",IF(Data!G238&lt;0,"-",""),TEXT(ABS(Data!G238),"0.0000"))</f>
        <v>B-10.7103</v>
      </c>
      <c r="G249" s="16" t="str">
        <f aca="false">CONCATENATE("C",IF(Data!A238&lt;0,"-",""),TEXT(ABS(Data!A238),"0.0000"))</f>
        <v>C236.0000</v>
      </c>
    </row>
    <row r="250" customFormat="false" ht="15" hidden="false" customHeight="false" outlineLevel="0" collapsed="false">
      <c r="A250" s="16" t="s">
        <v>296</v>
      </c>
      <c r="B250" s="16" t="s">
        <v>56</v>
      </c>
      <c r="C250" s="16" t="str">
        <f aca="false">CONCATENATE("X",IF(Data!D239&lt;0,"-",""),TEXT(ABS(Data!D239),"0.0000"))</f>
        <v>X-0.6345</v>
      </c>
      <c r="D250" s="16" t="str">
        <f aca="false">CONCATENATE("Y",IF(Data!E239&lt;0,"-",""),TEXT(ABS(Data!E239),"0.0000"))</f>
        <v>Y-0.9771</v>
      </c>
      <c r="E250" s="16" t="str">
        <f aca="false">CONCATENATE("Z",IF(Data!F239&lt;0,"-",""),TEXT(ABS(Data!F239),"0.0000"))</f>
        <v>Z-0.0927</v>
      </c>
      <c r="F250" s="16" t="str">
        <f aca="false">CONCATENATE("B",IF(Data!G239&lt;0,"-",""),TEXT(ABS(Data!G239),"0.0000"))</f>
        <v>B-10.8363</v>
      </c>
      <c r="G250" s="16" t="str">
        <f aca="false">CONCATENATE("C",IF(Data!A239&lt;0,"-",""),TEXT(ABS(Data!A239),"0.0000"))</f>
        <v>C237.0000</v>
      </c>
    </row>
    <row r="251" customFormat="false" ht="15" hidden="false" customHeight="false" outlineLevel="0" collapsed="false">
      <c r="A251" s="16" t="s">
        <v>297</v>
      </c>
      <c r="B251" s="16" t="s">
        <v>56</v>
      </c>
      <c r="C251" s="16" t="str">
        <f aca="false">CONCATENATE("X",IF(Data!D240&lt;0,"-",""),TEXT(ABS(Data!D240),"0.0000"))</f>
        <v>X-0.6174</v>
      </c>
      <c r="D251" s="16" t="str">
        <f aca="false">CONCATENATE("Y",IF(Data!E240&lt;0,"-",""),TEXT(ABS(Data!E240),"0.0000"))</f>
        <v>Y-0.9880</v>
      </c>
      <c r="E251" s="16" t="str">
        <f aca="false">CONCATENATE("Z",IF(Data!F240&lt;0,"-",""),TEXT(ABS(Data!F240),"0.0000"))</f>
        <v>Z-0.0948</v>
      </c>
      <c r="F251" s="16" t="str">
        <f aca="false">CONCATENATE("B",IF(Data!G240&lt;0,"-",""),TEXT(ABS(Data!G240),"0.0000"))</f>
        <v>B-10.9589</v>
      </c>
      <c r="G251" s="16" t="str">
        <f aca="false">CONCATENATE("C",IF(Data!A240&lt;0,"-",""),TEXT(ABS(Data!A240),"0.0000"))</f>
        <v>C238.0000</v>
      </c>
    </row>
    <row r="252" customFormat="false" ht="15" hidden="false" customHeight="false" outlineLevel="0" collapsed="false">
      <c r="A252" s="16" t="s">
        <v>298</v>
      </c>
      <c r="B252" s="16" t="s">
        <v>56</v>
      </c>
      <c r="C252" s="16" t="str">
        <f aca="false">CONCATENATE("X",IF(Data!D241&lt;0,"-",""),TEXT(ABS(Data!D241),"0.0000"))</f>
        <v>X-0.6000</v>
      </c>
      <c r="D252" s="16" t="str">
        <f aca="false">CONCATENATE("Y",IF(Data!E241&lt;0,"-",""),TEXT(ABS(Data!E241),"0.0000"))</f>
        <v>Y-0.9986</v>
      </c>
      <c r="E252" s="16" t="str">
        <f aca="false">CONCATENATE("Z",IF(Data!F241&lt;0,"-",""),TEXT(ABS(Data!F241),"0.0000"))</f>
        <v>Z-0.0968</v>
      </c>
      <c r="F252" s="16" t="str">
        <f aca="false">CONCATENATE("B",IF(Data!G241&lt;0,"-",""),TEXT(ABS(Data!G241),"0.0000"))</f>
        <v>B-11.0782</v>
      </c>
      <c r="G252" s="16" t="str">
        <f aca="false">CONCATENATE("C",IF(Data!A241&lt;0,"-",""),TEXT(ABS(Data!A241),"0.0000"))</f>
        <v>C239.0000</v>
      </c>
    </row>
    <row r="253" customFormat="false" ht="15" hidden="false" customHeight="false" outlineLevel="0" collapsed="false">
      <c r="A253" s="16" t="s">
        <v>299</v>
      </c>
      <c r="B253" s="16" t="s">
        <v>56</v>
      </c>
      <c r="C253" s="16" t="str">
        <f aca="false">CONCATENATE("X",IF(Data!D242&lt;0,"-",""),TEXT(ABS(Data!D242),"0.0000"))</f>
        <v>X-0.5825</v>
      </c>
      <c r="D253" s="16" t="str">
        <f aca="false">CONCATENATE("Y",IF(Data!E242&lt;0,"-",""),TEXT(ABS(Data!E242),"0.0000"))</f>
        <v>Y-1.0089</v>
      </c>
      <c r="E253" s="16" t="str">
        <f aca="false">CONCATENATE("Z",IF(Data!F242&lt;0,"-",""),TEXT(ABS(Data!F242),"0.0000"))</f>
        <v>Z-0.0989</v>
      </c>
      <c r="F253" s="16" t="str">
        <f aca="false">CONCATENATE("B",IF(Data!G242&lt;0,"-",""),TEXT(ABS(Data!G242),"0.0000"))</f>
        <v>B-11.1942</v>
      </c>
      <c r="G253" s="16" t="str">
        <f aca="false">CONCATENATE("C",IF(Data!A242&lt;0,"-",""),TEXT(ABS(Data!A242),"0.0000"))</f>
        <v>C240.0000</v>
      </c>
    </row>
    <row r="254" customFormat="false" ht="15" hidden="false" customHeight="false" outlineLevel="0" collapsed="false">
      <c r="A254" s="16" t="s">
        <v>300</v>
      </c>
      <c r="B254" s="16" t="s">
        <v>56</v>
      </c>
      <c r="C254" s="16" t="str">
        <f aca="false">CONCATENATE("X",IF(Data!D243&lt;0,"-",""),TEXT(ABS(Data!D243),"0.0000"))</f>
        <v>X-0.5648</v>
      </c>
      <c r="D254" s="16" t="str">
        <f aca="false">CONCATENATE("Y",IF(Data!E243&lt;0,"-",""),TEXT(ABS(Data!E243),"0.0000"))</f>
        <v>Y-1.0189</v>
      </c>
      <c r="E254" s="16" t="str">
        <f aca="false">CONCATENATE("Z",IF(Data!F243&lt;0,"-",""),TEXT(ABS(Data!F243),"0.0000"))</f>
        <v>Z-0.1009</v>
      </c>
      <c r="F254" s="16" t="str">
        <f aca="false">CONCATENATE("B",IF(Data!G243&lt;0,"-",""),TEXT(ABS(Data!G243),"0.0000"))</f>
        <v>B-11.3067</v>
      </c>
      <c r="G254" s="16" t="str">
        <f aca="false">CONCATENATE("C",IF(Data!A243&lt;0,"-",""),TEXT(ABS(Data!A243),"0.0000"))</f>
        <v>C241.0000</v>
      </c>
    </row>
    <row r="255" customFormat="false" ht="15" hidden="false" customHeight="false" outlineLevel="0" collapsed="false">
      <c r="A255" s="16" t="s">
        <v>301</v>
      </c>
      <c r="B255" s="16" t="s">
        <v>56</v>
      </c>
      <c r="C255" s="16" t="str">
        <f aca="false">CONCATENATE("X",IF(Data!D244&lt;0,"-",""),TEXT(ABS(Data!D244),"0.0000"))</f>
        <v>X-0.5469</v>
      </c>
      <c r="D255" s="16" t="str">
        <f aca="false">CONCATENATE("Y",IF(Data!E244&lt;0,"-",""),TEXT(ABS(Data!E244),"0.0000"))</f>
        <v>Y-1.0286</v>
      </c>
      <c r="E255" s="16" t="str">
        <f aca="false">CONCATENATE("Z",IF(Data!F244&lt;0,"-",""),TEXT(ABS(Data!F244),"0.0000"))</f>
        <v>Z-0.1028</v>
      </c>
      <c r="F255" s="16" t="str">
        <f aca="false">CONCATENATE("B",IF(Data!G244&lt;0,"-",""),TEXT(ABS(Data!G244),"0.0000"))</f>
        <v>B-11.4158</v>
      </c>
      <c r="G255" s="16" t="str">
        <f aca="false">CONCATENATE("C",IF(Data!A244&lt;0,"-",""),TEXT(ABS(Data!A244),"0.0000"))</f>
        <v>C242.0000</v>
      </c>
    </row>
    <row r="256" customFormat="false" ht="15" hidden="false" customHeight="false" outlineLevel="0" collapsed="false">
      <c r="A256" s="16" t="s">
        <v>302</v>
      </c>
      <c r="B256" s="16" t="s">
        <v>56</v>
      </c>
      <c r="C256" s="16" t="str">
        <f aca="false">CONCATENATE("X",IF(Data!D245&lt;0,"-",""),TEXT(ABS(Data!D245),"0.0000"))</f>
        <v>X-0.5289</v>
      </c>
      <c r="D256" s="16" t="str">
        <f aca="false">CONCATENATE("Y",IF(Data!E245&lt;0,"-",""),TEXT(ABS(Data!E245),"0.0000"))</f>
        <v>Y-1.0380</v>
      </c>
      <c r="E256" s="16" t="str">
        <f aca="false">CONCATENATE("Z",IF(Data!F245&lt;0,"-",""),TEXT(ABS(Data!F245),"0.0000"))</f>
        <v>Z-0.1047</v>
      </c>
      <c r="F256" s="16" t="str">
        <f aca="false">CONCATENATE("B",IF(Data!G245&lt;0,"-",""),TEXT(ABS(Data!G245),"0.0000"))</f>
        <v>B-11.5215</v>
      </c>
      <c r="G256" s="16" t="str">
        <f aca="false">CONCATENATE("C",IF(Data!A245&lt;0,"-",""),TEXT(ABS(Data!A245),"0.0000"))</f>
        <v>C243.0000</v>
      </c>
    </row>
    <row r="257" customFormat="false" ht="15" hidden="false" customHeight="false" outlineLevel="0" collapsed="false">
      <c r="A257" s="16" t="s">
        <v>303</v>
      </c>
      <c r="B257" s="16" t="s">
        <v>56</v>
      </c>
      <c r="C257" s="16" t="str">
        <f aca="false">CONCATENATE("X",IF(Data!D246&lt;0,"-",""),TEXT(ABS(Data!D246),"0.0000"))</f>
        <v>X-0.5107</v>
      </c>
      <c r="D257" s="16" t="str">
        <f aca="false">CONCATENATE("Y",IF(Data!E246&lt;0,"-",""),TEXT(ABS(Data!E246),"0.0000"))</f>
        <v>Y-1.0471</v>
      </c>
      <c r="E257" s="16" t="str">
        <f aca="false">CONCATENATE("Z",IF(Data!F246&lt;0,"-",""),TEXT(ABS(Data!F246),"0.0000"))</f>
        <v>Z-0.1066</v>
      </c>
      <c r="F257" s="16" t="str">
        <f aca="false">CONCATENATE("B",IF(Data!G246&lt;0,"-",""),TEXT(ABS(Data!G246),"0.0000"))</f>
        <v>B-11.6236</v>
      </c>
      <c r="G257" s="16" t="str">
        <f aca="false">CONCATENATE("C",IF(Data!A246&lt;0,"-",""),TEXT(ABS(Data!A246),"0.0000"))</f>
        <v>C244.0000</v>
      </c>
    </row>
    <row r="258" customFormat="false" ht="15" hidden="false" customHeight="false" outlineLevel="0" collapsed="false">
      <c r="A258" s="16" t="s">
        <v>304</v>
      </c>
      <c r="B258" s="16" t="s">
        <v>56</v>
      </c>
      <c r="C258" s="16" t="str">
        <f aca="false">CONCATENATE("X",IF(Data!D247&lt;0,"-",""),TEXT(ABS(Data!D247),"0.0000"))</f>
        <v>X-0.4924</v>
      </c>
      <c r="D258" s="16" t="str">
        <f aca="false">CONCATENATE("Y",IF(Data!E247&lt;0,"-",""),TEXT(ABS(Data!E247),"0.0000"))</f>
        <v>Y-1.0558</v>
      </c>
      <c r="E258" s="16" t="str">
        <f aca="false">CONCATENATE("Z",IF(Data!F247&lt;0,"-",""),TEXT(ABS(Data!F247),"0.0000"))</f>
        <v>Z-0.1084</v>
      </c>
      <c r="F258" s="16" t="str">
        <f aca="false">CONCATENATE("B",IF(Data!G247&lt;0,"-",""),TEXT(ABS(Data!G247),"0.0000"))</f>
        <v>B-11.7221</v>
      </c>
      <c r="G258" s="16" t="str">
        <f aca="false">CONCATENATE("C",IF(Data!A247&lt;0,"-",""),TEXT(ABS(Data!A247),"0.0000"))</f>
        <v>C245.0000</v>
      </c>
    </row>
    <row r="259" customFormat="false" ht="15" hidden="false" customHeight="false" outlineLevel="0" collapsed="false">
      <c r="A259" s="16" t="s">
        <v>305</v>
      </c>
      <c r="B259" s="16" t="s">
        <v>56</v>
      </c>
      <c r="C259" s="16" t="str">
        <f aca="false">CONCATENATE("X",IF(Data!D248&lt;0,"-",""),TEXT(ABS(Data!D248),"0.0000"))</f>
        <v>X-0.4738</v>
      </c>
      <c r="D259" s="16" t="str">
        <f aca="false">CONCATENATE("Y",IF(Data!E248&lt;0,"-",""),TEXT(ABS(Data!E248),"0.0000"))</f>
        <v>Y-1.0643</v>
      </c>
      <c r="E259" s="16" t="str">
        <f aca="false">CONCATENATE("Z",IF(Data!F248&lt;0,"-",""),TEXT(ABS(Data!F248),"0.0000"))</f>
        <v>Z-0.1101</v>
      </c>
      <c r="F259" s="16" t="str">
        <f aca="false">CONCATENATE("B",IF(Data!G248&lt;0,"-",""),TEXT(ABS(Data!G248),"0.0000"))</f>
        <v>B-11.8171</v>
      </c>
      <c r="G259" s="16" t="str">
        <f aca="false">CONCATENATE("C",IF(Data!A248&lt;0,"-",""),TEXT(ABS(Data!A248),"0.0000"))</f>
        <v>C246.0000</v>
      </c>
    </row>
    <row r="260" customFormat="false" ht="15" hidden="false" customHeight="false" outlineLevel="0" collapsed="false">
      <c r="A260" s="16" t="s">
        <v>306</v>
      </c>
      <c r="B260" s="16" t="s">
        <v>56</v>
      </c>
      <c r="C260" s="16" t="str">
        <f aca="false">CONCATENATE("X",IF(Data!D249&lt;0,"-",""),TEXT(ABS(Data!D249),"0.0000"))</f>
        <v>X-0.4552</v>
      </c>
      <c r="D260" s="16" t="str">
        <f aca="false">CONCATENATE("Y",IF(Data!E249&lt;0,"-",""),TEXT(ABS(Data!E249),"0.0000"))</f>
        <v>Y-1.0724</v>
      </c>
      <c r="E260" s="16" t="str">
        <f aca="false">CONCATENATE("Z",IF(Data!F249&lt;0,"-",""),TEXT(ABS(Data!F249),"0.0000"))</f>
        <v>Z-0.1118</v>
      </c>
      <c r="F260" s="16" t="str">
        <f aca="false">CONCATENATE("B",IF(Data!G249&lt;0,"-",""),TEXT(ABS(Data!G249),"0.0000"))</f>
        <v>B-11.9084</v>
      </c>
      <c r="G260" s="16" t="str">
        <f aca="false">CONCATENATE("C",IF(Data!A249&lt;0,"-",""),TEXT(ABS(Data!A249),"0.0000"))</f>
        <v>C247.0000</v>
      </c>
    </row>
    <row r="261" customFormat="false" ht="15" hidden="false" customHeight="false" outlineLevel="0" collapsed="false">
      <c r="A261" s="16" t="s">
        <v>307</v>
      </c>
      <c r="B261" s="16" t="s">
        <v>56</v>
      </c>
      <c r="C261" s="16" t="str">
        <f aca="false">CONCATENATE("X",IF(Data!D250&lt;0,"-",""),TEXT(ABS(Data!D250),"0.0000"))</f>
        <v>X-0.4364</v>
      </c>
      <c r="D261" s="16" t="str">
        <f aca="false">CONCATENATE("Y",IF(Data!E250&lt;0,"-",""),TEXT(ABS(Data!E250),"0.0000"))</f>
        <v>Y-1.0802</v>
      </c>
      <c r="E261" s="16" t="str">
        <f aca="false">CONCATENATE("Z",IF(Data!F250&lt;0,"-",""),TEXT(ABS(Data!F250),"0.0000"))</f>
        <v>Z-0.1135</v>
      </c>
      <c r="F261" s="16" t="str">
        <f aca="false">CONCATENATE("B",IF(Data!G250&lt;0,"-",""),TEXT(ABS(Data!G250),"0.0000"))</f>
        <v>B-11.9961</v>
      </c>
      <c r="G261" s="16" t="str">
        <f aca="false">CONCATENATE("C",IF(Data!A250&lt;0,"-",""),TEXT(ABS(Data!A250),"0.0000"))</f>
        <v>C248.0000</v>
      </c>
    </row>
    <row r="262" customFormat="false" ht="15" hidden="false" customHeight="false" outlineLevel="0" collapsed="false">
      <c r="A262" s="16" t="s">
        <v>308</v>
      </c>
      <c r="B262" s="16" t="s">
        <v>56</v>
      </c>
      <c r="C262" s="16" t="str">
        <f aca="false">CONCATENATE("X",IF(Data!D251&lt;0,"-",""),TEXT(ABS(Data!D251),"0.0000"))</f>
        <v>X-0.4175</v>
      </c>
      <c r="D262" s="16" t="str">
        <f aca="false">CONCATENATE("Y",IF(Data!E251&lt;0,"-",""),TEXT(ABS(Data!E251),"0.0000"))</f>
        <v>Y-1.0876</v>
      </c>
      <c r="E262" s="16" t="str">
        <f aca="false">CONCATENATE("Z",IF(Data!F251&lt;0,"-",""),TEXT(ABS(Data!F251),"0.0000"))</f>
        <v>Z-0.1151</v>
      </c>
      <c r="F262" s="16" t="str">
        <f aca="false">CONCATENATE("B",IF(Data!G251&lt;0,"-",""),TEXT(ABS(Data!G251),"0.0000"))</f>
        <v>B-12.0801</v>
      </c>
      <c r="G262" s="16" t="str">
        <f aca="false">CONCATENATE("C",IF(Data!A251&lt;0,"-",""),TEXT(ABS(Data!A251),"0.0000"))</f>
        <v>C249.0000</v>
      </c>
    </row>
    <row r="263" customFormat="false" ht="15" hidden="false" customHeight="false" outlineLevel="0" collapsed="false">
      <c r="A263" s="16" t="s">
        <v>309</v>
      </c>
      <c r="B263" s="16" t="s">
        <v>56</v>
      </c>
      <c r="C263" s="16" t="str">
        <f aca="false">CONCATENATE("X",IF(Data!D252&lt;0,"-",""),TEXT(ABS(Data!D252),"0.0000"))</f>
        <v>X-0.3985</v>
      </c>
      <c r="D263" s="16" t="str">
        <f aca="false">CONCATENATE("Y",IF(Data!E252&lt;0,"-",""),TEXT(ABS(Data!E252),"0.0000"))</f>
        <v>Y-1.0947</v>
      </c>
      <c r="E263" s="16" t="str">
        <f aca="false">CONCATENATE("Z",IF(Data!F252&lt;0,"-",""),TEXT(ABS(Data!F252),"0.0000"))</f>
        <v>Z-0.1166</v>
      </c>
      <c r="F263" s="16" t="str">
        <f aca="false">CONCATENATE("B",IF(Data!G252&lt;0,"-",""),TEXT(ABS(Data!G252),"0.0000"))</f>
        <v>B-12.1604</v>
      </c>
      <c r="G263" s="16" t="str">
        <f aca="false">CONCATENATE("C",IF(Data!A252&lt;0,"-",""),TEXT(ABS(Data!A252),"0.0000"))</f>
        <v>C250.0000</v>
      </c>
    </row>
    <row r="264" customFormat="false" ht="15" hidden="false" customHeight="false" outlineLevel="0" collapsed="false">
      <c r="A264" s="16" t="s">
        <v>310</v>
      </c>
      <c r="B264" s="16" t="s">
        <v>56</v>
      </c>
      <c r="C264" s="16" t="str">
        <f aca="false">CONCATENATE("X",IF(Data!D253&lt;0,"-",""),TEXT(ABS(Data!D253),"0.0000"))</f>
        <v>X-0.3793</v>
      </c>
      <c r="D264" s="16" t="str">
        <f aca="false">CONCATENATE("Y",IF(Data!E253&lt;0,"-",""),TEXT(ABS(Data!E253),"0.0000"))</f>
        <v>Y-1.1015</v>
      </c>
      <c r="E264" s="16" t="str">
        <f aca="false">CONCATENATE("Z",IF(Data!F253&lt;0,"-",""),TEXT(ABS(Data!F253),"0.0000"))</f>
        <v>Z-0.1181</v>
      </c>
      <c r="F264" s="16" t="str">
        <f aca="false">CONCATENATE("B",IF(Data!G253&lt;0,"-",""),TEXT(ABS(Data!G253),"0.0000"))</f>
        <v>B-12.2369</v>
      </c>
      <c r="G264" s="16" t="str">
        <f aca="false">CONCATENATE("C",IF(Data!A253&lt;0,"-",""),TEXT(ABS(Data!A253),"0.0000"))</f>
        <v>C251.0000</v>
      </c>
    </row>
    <row r="265" customFormat="false" ht="15" hidden="false" customHeight="false" outlineLevel="0" collapsed="false">
      <c r="A265" s="16" t="s">
        <v>311</v>
      </c>
      <c r="B265" s="16" t="s">
        <v>56</v>
      </c>
      <c r="C265" s="16" t="str">
        <f aca="false">CONCATENATE("X",IF(Data!D254&lt;0,"-",""),TEXT(ABS(Data!D254),"0.0000"))</f>
        <v>X-0.3600</v>
      </c>
      <c r="D265" s="16" t="str">
        <f aca="false">CONCATENATE("Y",IF(Data!E254&lt;0,"-",""),TEXT(ABS(Data!E254),"0.0000"))</f>
        <v>Y-1.1080</v>
      </c>
      <c r="E265" s="16" t="str">
        <f aca="false">CONCATENATE("Z",IF(Data!F254&lt;0,"-",""),TEXT(ABS(Data!F254),"0.0000"))</f>
        <v>Z-0.1195</v>
      </c>
      <c r="F265" s="16" t="str">
        <f aca="false">CONCATENATE("B",IF(Data!G254&lt;0,"-",""),TEXT(ABS(Data!G254),"0.0000"))</f>
        <v>B-12.3097</v>
      </c>
      <c r="G265" s="16" t="str">
        <f aca="false">CONCATENATE("C",IF(Data!A254&lt;0,"-",""),TEXT(ABS(Data!A254),"0.0000"))</f>
        <v>C252.0000</v>
      </c>
    </row>
    <row r="266" customFormat="false" ht="15" hidden="false" customHeight="false" outlineLevel="0" collapsed="false">
      <c r="A266" s="16" t="s">
        <v>312</v>
      </c>
      <c r="B266" s="16" t="s">
        <v>56</v>
      </c>
      <c r="C266" s="16" t="str">
        <f aca="false">CONCATENATE("X",IF(Data!D255&lt;0,"-",""),TEXT(ABS(Data!D255),"0.0000"))</f>
        <v>X-0.3406</v>
      </c>
      <c r="D266" s="16" t="str">
        <f aca="false">CONCATENATE("Y",IF(Data!E255&lt;0,"-",""),TEXT(ABS(Data!E255),"0.0000"))</f>
        <v>Y-1.1141</v>
      </c>
      <c r="E266" s="16" t="str">
        <f aca="false">CONCATENATE("Z",IF(Data!F255&lt;0,"-",""),TEXT(ABS(Data!F255),"0.0000"))</f>
        <v>Z-0.1208</v>
      </c>
      <c r="F266" s="16" t="str">
        <f aca="false">CONCATENATE("B",IF(Data!G255&lt;0,"-",""),TEXT(ABS(Data!G255),"0.0000"))</f>
        <v>B-12.3787</v>
      </c>
      <c r="G266" s="16" t="str">
        <f aca="false">CONCATENATE("C",IF(Data!A255&lt;0,"-",""),TEXT(ABS(Data!A255),"0.0000"))</f>
        <v>C253.0000</v>
      </c>
    </row>
    <row r="267" customFormat="false" ht="15" hidden="false" customHeight="false" outlineLevel="0" collapsed="false">
      <c r="A267" s="16" t="s">
        <v>313</v>
      </c>
      <c r="B267" s="16" t="s">
        <v>56</v>
      </c>
      <c r="C267" s="16" t="str">
        <f aca="false">CONCATENATE("X",IF(Data!D256&lt;0,"-",""),TEXT(ABS(Data!D256),"0.0000"))</f>
        <v>X-0.3211</v>
      </c>
      <c r="D267" s="16" t="str">
        <f aca="false">CONCATENATE("Y",IF(Data!E256&lt;0,"-",""),TEXT(ABS(Data!E256),"0.0000"))</f>
        <v>Y-1.1199</v>
      </c>
      <c r="E267" s="16" t="str">
        <f aca="false">CONCATENATE("Z",IF(Data!F256&lt;0,"-",""),TEXT(ABS(Data!F256),"0.0000"))</f>
        <v>Z-0.1221</v>
      </c>
      <c r="F267" s="16" t="str">
        <f aca="false">CONCATENATE("B",IF(Data!G256&lt;0,"-",""),TEXT(ABS(Data!G256),"0.0000"))</f>
        <v>B-12.4439</v>
      </c>
      <c r="G267" s="16" t="str">
        <f aca="false">CONCATENATE("C",IF(Data!A256&lt;0,"-",""),TEXT(ABS(Data!A256),"0.0000"))</f>
        <v>C254.0000</v>
      </c>
    </row>
    <row r="268" customFormat="false" ht="15" hidden="false" customHeight="false" outlineLevel="0" collapsed="false">
      <c r="A268" s="16" t="s">
        <v>314</v>
      </c>
      <c r="B268" s="16" t="s">
        <v>56</v>
      </c>
      <c r="C268" s="16" t="str">
        <f aca="false">CONCATENATE("X",IF(Data!D257&lt;0,"-",""),TEXT(ABS(Data!D257),"0.0000"))</f>
        <v>X-0.3015</v>
      </c>
      <c r="D268" s="16" t="str">
        <f aca="false">CONCATENATE("Y",IF(Data!E257&lt;0,"-",""),TEXT(ABS(Data!E257),"0.0000"))</f>
        <v>Y-1.1253</v>
      </c>
      <c r="E268" s="16" t="str">
        <f aca="false">CONCATENATE("Z",IF(Data!F257&lt;0,"-",""),TEXT(ABS(Data!F257),"0.0000"))</f>
        <v>Z-0.1233</v>
      </c>
      <c r="F268" s="16" t="str">
        <f aca="false">CONCATENATE("B",IF(Data!G257&lt;0,"-",""),TEXT(ABS(Data!G257),"0.0000"))</f>
        <v>B-12.5053</v>
      </c>
      <c r="G268" s="16" t="str">
        <f aca="false">CONCATENATE("C",IF(Data!A257&lt;0,"-",""),TEXT(ABS(Data!A257),"0.0000"))</f>
        <v>C255.0000</v>
      </c>
    </row>
    <row r="269" customFormat="false" ht="15" hidden="false" customHeight="false" outlineLevel="0" collapsed="false">
      <c r="A269" s="16" t="s">
        <v>315</v>
      </c>
      <c r="B269" s="16" t="s">
        <v>56</v>
      </c>
      <c r="C269" s="16" t="str">
        <f aca="false">CONCATENATE("X",IF(Data!D258&lt;0,"-",""),TEXT(ABS(Data!D258),"0.0000"))</f>
        <v>X-0.2818</v>
      </c>
      <c r="D269" s="16" t="str">
        <f aca="false">CONCATENATE("Y",IF(Data!E258&lt;0,"-",""),TEXT(ABS(Data!E258),"0.0000"))</f>
        <v>Y-1.1304</v>
      </c>
      <c r="E269" s="16" t="str">
        <f aca="false">CONCATENATE("Z",IF(Data!F258&lt;0,"-",""),TEXT(ABS(Data!F258),"0.0000"))</f>
        <v>Z-0.1244</v>
      </c>
      <c r="F269" s="16" t="str">
        <f aca="false">CONCATENATE("B",IF(Data!G258&lt;0,"-",""),TEXT(ABS(Data!G258),"0.0000"))</f>
        <v>B-12.5628</v>
      </c>
      <c r="G269" s="16" t="str">
        <f aca="false">CONCATENATE("C",IF(Data!A258&lt;0,"-",""),TEXT(ABS(Data!A258),"0.0000"))</f>
        <v>C256.0000</v>
      </c>
    </row>
    <row r="270" customFormat="false" ht="15" hidden="false" customHeight="false" outlineLevel="0" collapsed="false">
      <c r="A270" s="16" t="s">
        <v>316</v>
      </c>
      <c r="B270" s="16" t="s">
        <v>56</v>
      </c>
      <c r="C270" s="16" t="str">
        <f aca="false">CONCATENATE("X",IF(Data!D259&lt;0,"-",""),TEXT(ABS(Data!D259),"0.0000"))</f>
        <v>X-0.2621</v>
      </c>
      <c r="D270" s="16" t="str">
        <f aca="false">CONCATENATE("Y",IF(Data!E259&lt;0,"-",""),TEXT(ABS(Data!E259),"0.0000"))</f>
        <v>Y-1.1351</v>
      </c>
      <c r="E270" s="16" t="str">
        <f aca="false">CONCATENATE("Z",IF(Data!F259&lt;0,"-",""),TEXT(ABS(Data!F259),"0.0000"))</f>
        <v>Z-0.1255</v>
      </c>
      <c r="F270" s="16" t="str">
        <f aca="false">CONCATENATE("B",IF(Data!G259&lt;0,"-",""),TEXT(ABS(Data!G259),"0.0000"))</f>
        <v>B-12.6164</v>
      </c>
      <c r="G270" s="16" t="str">
        <f aca="false">CONCATENATE("C",IF(Data!A259&lt;0,"-",""),TEXT(ABS(Data!A259),"0.0000"))</f>
        <v>C257.0000</v>
      </c>
    </row>
    <row r="271" customFormat="false" ht="15" hidden="false" customHeight="false" outlineLevel="0" collapsed="false">
      <c r="A271" s="16" t="s">
        <v>317</v>
      </c>
      <c r="B271" s="16" t="s">
        <v>56</v>
      </c>
      <c r="C271" s="16" t="str">
        <f aca="false">CONCATENATE("X",IF(Data!D260&lt;0,"-",""),TEXT(ABS(Data!D260),"0.0000"))</f>
        <v>X-0.2422</v>
      </c>
      <c r="D271" s="16" t="str">
        <f aca="false">CONCATENATE("Y",IF(Data!E260&lt;0,"-",""),TEXT(ABS(Data!E260),"0.0000"))</f>
        <v>Y-1.1395</v>
      </c>
      <c r="E271" s="16" t="str">
        <f aca="false">CONCATENATE("Z",IF(Data!F260&lt;0,"-",""),TEXT(ABS(Data!F260),"0.0000"))</f>
        <v>Z-0.1265</v>
      </c>
      <c r="F271" s="16" t="str">
        <f aca="false">CONCATENATE("B",IF(Data!G260&lt;0,"-",""),TEXT(ABS(Data!G260),"0.0000"))</f>
        <v>B-12.6661</v>
      </c>
      <c r="G271" s="16" t="str">
        <f aca="false">CONCATENATE("C",IF(Data!A260&lt;0,"-",""),TEXT(ABS(Data!A260),"0.0000"))</f>
        <v>C258.0000</v>
      </c>
    </row>
    <row r="272" customFormat="false" ht="15" hidden="false" customHeight="false" outlineLevel="0" collapsed="false">
      <c r="A272" s="16" t="s">
        <v>318</v>
      </c>
      <c r="B272" s="16" t="s">
        <v>56</v>
      </c>
      <c r="C272" s="16" t="str">
        <f aca="false">CONCATENATE("X",IF(Data!D261&lt;0,"-",""),TEXT(ABS(Data!D261),"0.0000"))</f>
        <v>X-0.2223</v>
      </c>
      <c r="D272" s="16" t="str">
        <f aca="false">CONCATENATE("Y",IF(Data!E261&lt;0,"-",""),TEXT(ABS(Data!E261),"0.0000"))</f>
        <v>Y-1.1436</v>
      </c>
      <c r="E272" s="16" t="str">
        <f aca="false">CONCATENATE("Z",IF(Data!F261&lt;0,"-",""),TEXT(ABS(Data!F261),"0.0000"))</f>
        <v>Z-0.1274</v>
      </c>
      <c r="F272" s="16" t="str">
        <f aca="false">CONCATENATE("B",IF(Data!G261&lt;0,"-",""),TEXT(ABS(Data!G261),"0.0000"))</f>
        <v>B-12.7119</v>
      </c>
      <c r="G272" s="16" t="str">
        <f aca="false">CONCATENATE("C",IF(Data!A261&lt;0,"-",""),TEXT(ABS(Data!A261),"0.0000"))</f>
        <v>C259.0000</v>
      </c>
    </row>
    <row r="273" customFormat="false" ht="15" hidden="false" customHeight="false" outlineLevel="0" collapsed="false">
      <c r="A273" s="16" t="s">
        <v>319</v>
      </c>
      <c r="B273" s="16" t="s">
        <v>56</v>
      </c>
      <c r="C273" s="16" t="str">
        <f aca="false">CONCATENATE("X",IF(Data!D262&lt;0,"-",""),TEXT(ABS(Data!D262),"0.0000"))</f>
        <v>X-0.2023</v>
      </c>
      <c r="D273" s="16" t="str">
        <f aca="false">CONCATENATE("Y",IF(Data!E262&lt;0,"-",""),TEXT(ABS(Data!E262),"0.0000"))</f>
        <v>Y-1.1473</v>
      </c>
      <c r="E273" s="16" t="str">
        <f aca="false">CONCATENATE("Z",IF(Data!F262&lt;0,"-",""),TEXT(ABS(Data!F262),"0.0000"))</f>
        <v>Z-0.1282</v>
      </c>
      <c r="F273" s="16" t="str">
        <f aca="false">CONCATENATE("B",IF(Data!G262&lt;0,"-",""),TEXT(ABS(Data!G262),"0.0000"))</f>
        <v>B-12.7538</v>
      </c>
      <c r="G273" s="16" t="str">
        <f aca="false">CONCATENATE("C",IF(Data!A262&lt;0,"-",""),TEXT(ABS(Data!A262),"0.0000"))</f>
        <v>C260.0000</v>
      </c>
    </row>
    <row r="274" customFormat="false" ht="15" hidden="false" customHeight="false" outlineLevel="0" collapsed="false">
      <c r="A274" s="16" t="s">
        <v>320</v>
      </c>
      <c r="B274" s="16" t="s">
        <v>56</v>
      </c>
      <c r="C274" s="16" t="str">
        <f aca="false">CONCATENATE("X",IF(Data!D263&lt;0,"-",""),TEXT(ABS(Data!D263),"0.0000"))</f>
        <v>X-0.1822</v>
      </c>
      <c r="D274" s="16" t="str">
        <f aca="false">CONCATENATE("Y",IF(Data!E263&lt;0,"-",""),TEXT(ABS(Data!E263),"0.0000"))</f>
        <v>Y-1.1507</v>
      </c>
      <c r="E274" s="16" t="str">
        <f aca="false">CONCATENATE("Z",IF(Data!F263&lt;0,"-",""),TEXT(ABS(Data!F263),"0.0000"))</f>
        <v>Z-0.1290</v>
      </c>
      <c r="F274" s="16" t="str">
        <f aca="false">CONCATENATE("B",IF(Data!G263&lt;0,"-",""),TEXT(ABS(Data!G263),"0.0000"))</f>
        <v>B-12.7917</v>
      </c>
      <c r="G274" s="16" t="str">
        <f aca="false">CONCATENATE("C",IF(Data!A263&lt;0,"-",""),TEXT(ABS(Data!A263),"0.0000"))</f>
        <v>C261.0000</v>
      </c>
    </row>
    <row r="275" customFormat="false" ht="15" hidden="false" customHeight="false" outlineLevel="0" collapsed="false">
      <c r="A275" s="16" t="s">
        <v>321</v>
      </c>
      <c r="B275" s="16" t="s">
        <v>56</v>
      </c>
      <c r="C275" s="16" t="str">
        <f aca="false">CONCATENATE("X",IF(Data!D264&lt;0,"-",""),TEXT(ABS(Data!D264),"0.0000"))</f>
        <v>X-0.1621</v>
      </c>
      <c r="D275" s="16" t="str">
        <f aca="false">CONCATENATE("Y",IF(Data!E264&lt;0,"-",""),TEXT(ABS(Data!E264),"0.0000"))</f>
        <v>Y-1.1537</v>
      </c>
      <c r="E275" s="16" t="str">
        <f aca="false">CONCATENATE("Z",IF(Data!F264&lt;0,"-",""),TEXT(ABS(Data!F264),"0.0000"))</f>
        <v>Z-0.1297</v>
      </c>
      <c r="F275" s="16" t="str">
        <f aca="false">CONCATENATE("B",IF(Data!G264&lt;0,"-",""),TEXT(ABS(Data!G264),"0.0000"))</f>
        <v>B-12.8257</v>
      </c>
      <c r="G275" s="16" t="str">
        <f aca="false">CONCATENATE("C",IF(Data!A264&lt;0,"-",""),TEXT(ABS(Data!A264),"0.0000"))</f>
        <v>C262.0000</v>
      </c>
    </row>
    <row r="276" customFormat="false" ht="15" hidden="false" customHeight="false" outlineLevel="0" collapsed="false">
      <c r="A276" s="16" t="s">
        <v>322</v>
      </c>
      <c r="B276" s="16" t="s">
        <v>56</v>
      </c>
      <c r="C276" s="16" t="str">
        <f aca="false">CONCATENATE("X",IF(Data!D265&lt;0,"-",""),TEXT(ABS(Data!D265),"0.0000"))</f>
        <v>X-0.1420</v>
      </c>
      <c r="D276" s="16" t="str">
        <f aca="false">CONCATENATE("Y",IF(Data!E265&lt;0,"-",""),TEXT(ABS(Data!E265),"0.0000"))</f>
        <v>Y-1.1563</v>
      </c>
      <c r="E276" s="16" t="str">
        <f aca="false">CONCATENATE("Z",IF(Data!F265&lt;0,"-",""),TEXT(ABS(Data!F265),"0.0000"))</f>
        <v>Z-0.1303</v>
      </c>
      <c r="F276" s="16" t="str">
        <f aca="false">CONCATENATE("B",IF(Data!G265&lt;0,"-",""),TEXT(ABS(Data!G265),"0.0000"))</f>
        <v>B-12.8557</v>
      </c>
      <c r="G276" s="16" t="str">
        <f aca="false">CONCATENATE("C",IF(Data!A265&lt;0,"-",""),TEXT(ABS(Data!A265),"0.0000"))</f>
        <v>C263.0000</v>
      </c>
    </row>
    <row r="277" customFormat="false" ht="15" hidden="false" customHeight="false" outlineLevel="0" collapsed="false">
      <c r="A277" s="16" t="s">
        <v>323</v>
      </c>
      <c r="B277" s="16" t="s">
        <v>56</v>
      </c>
      <c r="C277" s="16" t="str">
        <f aca="false">CONCATENATE("X",IF(Data!D266&lt;0,"-",""),TEXT(ABS(Data!D266),"0.0000"))</f>
        <v>X-0.1218</v>
      </c>
      <c r="D277" s="16" t="str">
        <f aca="false">CONCATENATE("Y",IF(Data!E266&lt;0,"-",""),TEXT(ABS(Data!E266),"0.0000"))</f>
        <v>Y-1.1586</v>
      </c>
      <c r="E277" s="16" t="str">
        <f aca="false">CONCATENATE("Z",IF(Data!F266&lt;0,"-",""),TEXT(ABS(Data!F266),"0.0000"))</f>
        <v>Z-0.1308</v>
      </c>
      <c r="F277" s="16" t="str">
        <f aca="false">CONCATENATE("B",IF(Data!G266&lt;0,"-",""),TEXT(ABS(Data!G266),"0.0000"))</f>
        <v>B-12.8818</v>
      </c>
      <c r="G277" s="16" t="str">
        <f aca="false">CONCATENATE("C",IF(Data!A266&lt;0,"-",""),TEXT(ABS(Data!A266),"0.0000"))</f>
        <v>C264.0000</v>
      </c>
    </row>
    <row r="278" customFormat="false" ht="15" hidden="false" customHeight="false" outlineLevel="0" collapsed="false">
      <c r="A278" s="16" t="s">
        <v>324</v>
      </c>
      <c r="B278" s="16" t="s">
        <v>56</v>
      </c>
      <c r="C278" s="16" t="str">
        <f aca="false">CONCATENATE("X",IF(Data!D267&lt;0,"-",""),TEXT(ABS(Data!D267),"0.0000"))</f>
        <v>X-0.1015</v>
      </c>
      <c r="D278" s="16" t="str">
        <f aca="false">CONCATENATE("Y",IF(Data!E267&lt;0,"-",""),TEXT(ABS(Data!E267),"0.0000"))</f>
        <v>Y-1.1606</v>
      </c>
      <c r="E278" s="16" t="str">
        <f aca="false">CONCATENATE("Z",IF(Data!F267&lt;0,"-",""),TEXT(ABS(Data!F267),"0.0000"))</f>
        <v>Z-0.1312</v>
      </c>
      <c r="F278" s="16" t="str">
        <f aca="false">CONCATENATE("B",IF(Data!G267&lt;0,"-",""),TEXT(ABS(Data!G267),"0.0000"))</f>
        <v>B-12.9038</v>
      </c>
      <c r="G278" s="16" t="str">
        <f aca="false">CONCATENATE("C",IF(Data!A267&lt;0,"-",""),TEXT(ABS(Data!A267),"0.0000"))</f>
        <v>C265.0000</v>
      </c>
    </row>
    <row r="279" customFormat="false" ht="15" hidden="false" customHeight="false" outlineLevel="0" collapsed="false">
      <c r="A279" s="16" t="s">
        <v>325</v>
      </c>
      <c r="B279" s="16" t="s">
        <v>56</v>
      </c>
      <c r="C279" s="16" t="str">
        <f aca="false">CONCATENATE("X",IF(Data!D268&lt;0,"-",""),TEXT(ABS(Data!D268),"0.0000"))</f>
        <v>X-0.0813</v>
      </c>
      <c r="D279" s="16" t="str">
        <f aca="false">CONCATENATE("Y",IF(Data!E268&lt;0,"-",""),TEXT(ABS(Data!E268),"0.0000"))</f>
        <v>Y-1.1622</v>
      </c>
      <c r="E279" s="16" t="str">
        <f aca="false">CONCATENATE("Z",IF(Data!F268&lt;0,"-",""),TEXT(ABS(Data!F268),"0.0000"))</f>
        <v>Z-0.1316</v>
      </c>
      <c r="F279" s="16" t="str">
        <f aca="false">CONCATENATE("B",IF(Data!G268&lt;0,"-",""),TEXT(ABS(Data!G268),"0.0000"))</f>
        <v>B-12.9218</v>
      </c>
      <c r="G279" s="16" t="str">
        <f aca="false">CONCATENATE("C",IF(Data!A268&lt;0,"-",""),TEXT(ABS(Data!A268),"0.0000"))</f>
        <v>C266.0000</v>
      </c>
    </row>
    <row r="280" customFormat="false" ht="15" hidden="false" customHeight="false" outlineLevel="0" collapsed="false">
      <c r="A280" s="16" t="s">
        <v>326</v>
      </c>
      <c r="B280" s="16" t="s">
        <v>56</v>
      </c>
      <c r="C280" s="16" t="str">
        <f aca="false">CONCATENATE("X",IF(Data!D269&lt;0,"-",""),TEXT(ABS(Data!D269),"0.0000"))</f>
        <v>X-0.0610</v>
      </c>
      <c r="D280" s="16" t="str">
        <f aca="false">CONCATENATE("Y",IF(Data!E269&lt;0,"-",""),TEXT(ABS(Data!E269),"0.0000"))</f>
        <v>Y-1.1634</v>
      </c>
      <c r="E280" s="16" t="str">
        <f aca="false">CONCATENATE("Z",IF(Data!F269&lt;0,"-",""),TEXT(ABS(Data!F269),"0.0000"))</f>
        <v>Z-0.1319</v>
      </c>
      <c r="F280" s="16" t="str">
        <f aca="false">CONCATENATE("B",IF(Data!G269&lt;0,"-",""),TEXT(ABS(Data!G269),"0.0000"))</f>
        <v>B-12.9359</v>
      </c>
      <c r="G280" s="16" t="str">
        <f aca="false">CONCATENATE("C",IF(Data!A269&lt;0,"-",""),TEXT(ABS(Data!A269),"0.0000"))</f>
        <v>C267.0000</v>
      </c>
    </row>
    <row r="281" customFormat="false" ht="15" hidden="false" customHeight="false" outlineLevel="0" collapsed="false">
      <c r="A281" s="16" t="s">
        <v>327</v>
      </c>
      <c r="B281" s="16" t="s">
        <v>56</v>
      </c>
      <c r="C281" s="16" t="str">
        <f aca="false">CONCATENATE("X",IF(Data!D270&lt;0,"-",""),TEXT(ABS(Data!D270),"0.0000"))</f>
        <v>X-0.0407</v>
      </c>
      <c r="D281" s="16" t="str">
        <f aca="false">CONCATENATE("Y",IF(Data!E270&lt;0,"-",""),TEXT(ABS(Data!E270),"0.0000"))</f>
        <v>Y-1.1643</v>
      </c>
      <c r="E281" s="16" t="str">
        <f aca="false">CONCATENATE("Z",IF(Data!F270&lt;0,"-",""),TEXT(ABS(Data!F270),"0.0000"))</f>
        <v>Z-0.1321</v>
      </c>
      <c r="F281" s="16" t="str">
        <f aca="false">CONCATENATE("B",IF(Data!G270&lt;0,"-",""),TEXT(ABS(Data!G270),"0.0000"))</f>
        <v>B-12.9459</v>
      </c>
      <c r="G281" s="16" t="str">
        <f aca="false">CONCATENATE("C",IF(Data!A270&lt;0,"-",""),TEXT(ABS(Data!A270),"0.0000"))</f>
        <v>C268.0000</v>
      </c>
    </row>
    <row r="282" customFormat="false" ht="15" hidden="false" customHeight="false" outlineLevel="0" collapsed="false">
      <c r="A282" s="16" t="s">
        <v>328</v>
      </c>
      <c r="B282" s="16" t="s">
        <v>56</v>
      </c>
      <c r="C282" s="16" t="str">
        <f aca="false">CONCATENATE("X",IF(Data!D271&lt;0,"-",""),TEXT(ABS(Data!D271),"0.0000"))</f>
        <v>X-0.0203</v>
      </c>
      <c r="D282" s="16" t="str">
        <f aca="false">CONCATENATE("Y",IF(Data!E271&lt;0,"-",""),TEXT(ABS(Data!E271),"0.0000"))</f>
        <v>Y-1.1648</v>
      </c>
      <c r="E282" s="16" t="str">
        <f aca="false">CONCATENATE("Z",IF(Data!F271&lt;0,"-",""),TEXT(ABS(Data!F271),"0.0000"))</f>
        <v>Z-0.1322</v>
      </c>
      <c r="F282" s="16" t="str">
        <f aca="false">CONCATENATE("B",IF(Data!G271&lt;0,"-",""),TEXT(ABS(Data!G271),"0.0000"))</f>
        <v>B-12.9519</v>
      </c>
      <c r="G282" s="16" t="str">
        <f aca="false">CONCATENATE("C",IF(Data!A271&lt;0,"-",""),TEXT(ABS(Data!A271),"0.0000"))</f>
        <v>C269.0000</v>
      </c>
    </row>
    <row r="283" customFormat="false" ht="13.8" hidden="false" customHeight="false" outlineLevel="0" collapsed="false">
      <c r="A283" s="15" t="s">
        <v>329</v>
      </c>
      <c r="B283" s="15" t="s">
        <v>56</v>
      </c>
      <c r="C283" s="15" t="str">
        <f aca="false">CONCATENATE("X",IF(Data!D272&lt;0,"-",""),TEXT(ABS(Data!D272),"0.0000"))</f>
        <v>X-0.0000</v>
      </c>
      <c r="D283" s="15" t="str">
        <f aca="false">CONCATENATE("Y",IF(Data!E272&lt;0,"-",""),TEXT(ABS(Data!E272),"0.0000"))</f>
        <v>Y-1.1650</v>
      </c>
      <c r="E283" s="15" t="str">
        <f aca="false">CONCATENATE("Z",IF(Data!F272&lt;0,"-",""),TEXT(ABS(Data!F272),"0.0000"))</f>
        <v>Z-0.1323</v>
      </c>
      <c r="F283" s="15" t="str">
        <f aca="false">CONCATENATE("B",IF(Data!G272&lt;0,"-",""),TEXT(ABS(Data!G272),"0.0000"))</f>
        <v>B-12.9539</v>
      </c>
      <c r="G283" s="15" t="str">
        <f aca="false">CONCATENATE("C",IF(Data!A272&lt;0,"-",""),TEXT(ABS(Data!A272),"0.0000"))</f>
        <v>C270.0000</v>
      </c>
    </row>
    <row r="284" customFormat="false" ht="15" hidden="false" customHeight="false" outlineLevel="0" collapsed="false">
      <c r="A284" s="16" t="s">
        <v>330</v>
      </c>
      <c r="B284" s="16" t="s">
        <v>56</v>
      </c>
      <c r="C284" s="16" t="str">
        <f aca="false">CONCATENATE("X",IF(Data!D273&lt;0,"-",""),TEXT(ABS(Data!D273),"0.0000"))</f>
        <v>X0.0203</v>
      </c>
      <c r="D284" s="16" t="str">
        <f aca="false">CONCATENATE("Y",IF(Data!E273&lt;0,"-",""),TEXT(ABS(Data!E273),"0.0000"))</f>
        <v>Y-1.1648</v>
      </c>
      <c r="E284" s="16" t="str">
        <f aca="false">CONCATENATE("Z",IF(Data!F273&lt;0,"-",""),TEXT(ABS(Data!F273),"0.0000"))</f>
        <v>Z-0.1322</v>
      </c>
      <c r="F284" s="16" t="str">
        <f aca="false">CONCATENATE("B",IF(Data!G273&lt;0,"-",""),TEXT(ABS(Data!G273),"0.0000"))</f>
        <v>B-12.9519</v>
      </c>
      <c r="G284" s="16" t="str">
        <f aca="false">CONCATENATE("C",IF(Data!A273&lt;0,"-",""),TEXT(ABS(Data!A273),"0.0000"))</f>
        <v>C271.0000</v>
      </c>
    </row>
    <row r="285" customFormat="false" ht="15" hidden="false" customHeight="false" outlineLevel="0" collapsed="false">
      <c r="A285" s="16" t="s">
        <v>331</v>
      </c>
      <c r="B285" s="16" t="s">
        <v>56</v>
      </c>
      <c r="C285" s="16" t="str">
        <f aca="false">CONCATENATE("X",IF(Data!D274&lt;0,"-",""),TEXT(ABS(Data!D274),"0.0000"))</f>
        <v>X0.0407</v>
      </c>
      <c r="D285" s="16" t="str">
        <f aca="false">CONCATENATE("Y",IF(Data!E274&lt;0,"-",""),TEXT(ABS(Data!E274),"0.0000"))</f>
        <v>Y-1.1643</v>
      </c>
      <c r="E285" s="16" t="str">
        <f aca="false">CONCATENATE("Z",IF(Data!F274&lt;0,"-",""),TEXT(ABS(Data!F274),"0.0000"))</f>
        <v>Z-0.1321</v>
      </c>
      <c r="F285" s="16" t="str">
        <f aca="false">CONCATENATE("B",IF(Data!G274&lt;0,"-",""),TEXT(ABS(Data!G274),"0.0000"))</f>
        <v>B-12.9459</v>
      </c>
      <c r="G285" s="16" t="str">
        <f aca="false">CONCATENATE("C",IF(Data!A274&lt;0,"-",""),TEXT(ABS(Data!A274),"0.0000"))</f>
        <v>C272.0000</v>
      </c>
    </row>
    <row r="286" customFormat="false" ht="15" hidden="false" customHeight="false" outlineLevel="0" collapsed="false">
      <c r="A286" s="16" t="s">
        <v>332</v>
      </c>
      <c r="B286" s="16" t="s">
        <v>56</v>
      </c>
      <c r="C286" s="16" t="str">
        <f aca="false">CONCATENATE("X",IF(Data!D275&lt;0,"-",""),TEXT(ABS(Data!D275),"0.0000"))</f>
        <v>X0.0610</v>
      </c>
      <c r="D286" s="16" t="str">
        <f aca="false">CONCATENATE("Y",IF(Data!E275&lt;0,"-",""),TEXT(ABS(Data!E275),"0.0000"))</f>
        <v>Y-1.1634</v>
      </c>
      <c r="E286" s="16" t="str">
        <f aca="false">CONCATENATE("Z",IF(Data!F275&lt;0,"-",""),TEXT(ABS(Data!F275),"0.0000"))</f>
        <v>Z-0.1319</v>
      </c>
      <c r="F286" s="16" t="str">
        <f aca="false">CONCATENATE("B",IF(Data!G275&lt;0,"-",""),TEXT(ABS(Data!G275),"0.0000"))</f>
        <v>B-12.9359</v>
      </c>
      <c r="G286" s="16" t="str">
        <f aca="false">CONCATENATE("C",IF(Data!A275&lt;0,"-",""),TEXT(ABS(Data!A275),"0.0000"))</f>
        <v>C273.0000</v>
      </c>
    </row>
    <row r="287" customFormat="false" ht="15" hidden="false" customHeight="false" outlineLevel="0" collapsed="false">
      <c r="A287" s="16" t="s">
        <v>333</v>
      </c>
      <c r="B287" s="16" t="s">
        <v>56</v>
      </c>
      <c r="C287" s="16" t="str">
        <f aca="false">CONCATENATE("X",IF(Data!D276&lt;0,"-",""),TEXT(ABS(Data!D276),"0.0000"))</f>
        <v>X0.0813</v>
      </c>
      <c r="D287" s="16" t="str">
        <f aca="false">CONCATENATE("Y",IF(Data!E276&lt;0,"-",""),TEXT(ABS(Data!E276),"0.0000"))</f>
        <v>Y-1.1622</v>
      </c>
      <c r="E287" s="16" t="str">
        <f aca="false">CONCATENATE("Z",IF(Data!F276&lt;0,"-",""),TEXT(ABS(Data!F276),"0.0000"))</f>
        <v>Z-0.1316</v>
      </c>
      <c r="F287" s="16" t="str">
        <f aca="false">CONCATENATE("B",IF(Data!G276&lt;0,"-",""),TEXT(ABS(Data!G276),"0.0000"))</f>
        <v>B-12.9218</v>
      </c>
      <c r="G287" s="16" t="str">
        <f aca="false">CONCATENATE("C",IF(Data!A276&lt;0,"-",""),TEXT(ABS(Data!A276),"0.0000"))</f>
        <v>C274.0000</v>
      </c>
    </row>
    <row r="288" customFormat="false" ht="15" hidden="false" customHeight="false" outlineLevel="0" collapsed="false">
      <c r="A288" s="16" t="s">
        <v>334</v>
      </c>
      <c r="B288" s="16" t="s">
        <v>56</v>
      </c>
      <c r="C288" s="16" t="str">
        <f aca="false">CONCATENATE("X",IF(Data!D277&lt;0,"-",""),TEXT(ABS(Data!D277),"0.0000"))</f>
        <v>X0.1015</v>
      </c>
      <c r="D288" s="16" t="str">
        <f aca="false">CONCATENATE("Y",IF(Data!E277&lt;0,"-",""),TEXT(ABS(Data!E277),"0.0000"))</f>
        <v>Y-1.1606</v>
      </c>
      <c r="E288" s="16" t="str">
        <f aca="false">CONCATENATE("Z",IF(Data!F277&lt;0,"-",""),TEXT(ABS(Data!F277),"0.0000"))</f>
        <v>Z-0.1312</v>
      </c>
      <c r="F288" s="16" t="str">
        <f aca="false">CONCATENATE("B",IF(Data!G277&lt;0,"-",""),TEXT(ABS(Data!G277),"0.0000"))</f>
        <v>B-12.9038</v>
      </c>
      <c r="G288" s="16" t="str">
        <f aca="false">CONCATENATE("C",IF(Data!A277&lt;0,"-",""),TEXT(ABS(Data!A277),"0.0000"))</f>
        <v>C275.0000</v>
      </c>
    </row>
    <row r="289" customFormat="false" ht="15" hidden="false" customHeight="false" outlineLevel="0" collapsed="false">
      <c r="A289" s="16" t="s">
        <v>335</v>
      </c>
      <c r="B289" s="16" t="s">
        <v>56</v>
      </c>
      <c r="C289" s="16" t="str">
        <f aca="false">CONCATENATE("X",IF(Data!D278&lt;0,"-",""),TEXT(ABS(Data!D278),"0.0000"))</f>
        <v>X0.1218</v>
      </c>
      <c r="D289" s="16" t="str">
        <f aca="false">CONCATENATE("Y",IF(Data!E278&lt;0,"-",""),TEXT(ABS(Data!E278),"0.0000"))</f>
        <v>Y-1.1586</v>
      </c>
      <c r="E289" s="16" t="str">
        <f aca="false">CONCATENATE("Z",IF(Data!F278&lt;0,"-",""),TEXT(ABS(Data!F278),"0.0000"))</f>
        <v>Z-0.1308</v>
      </c>
      <c r="F289" s="16" t="str">
        <f aca="false">CONCATENATE("B",IF(Data!G278&lt;0,"-",""),TEXT(ABS(Data!G278),"0.0000"))</f>
        <v>B-12.8818</v>
      </c>
      <c r="G289" s="16" t="str">
        <f aca="false">CONCATENATE("C",IF(Data!A278&lt;0,"-",""),TEXT(ABS(Data!A278),"0.0000"))</f>
        <v>C276.0000</v>
      </c>
    </row>
    <row r="290" customFormat="false" ht="15" hidden="false" customHeight="false" outlineLevel="0" collapsed="false">
      <c r="A290" s="16" t="s">
        <v>336</v>
      </c>
      <c r="B290" s="16" t="s">
        <v>56</v>
      </c>
      <c r="C290" s="16" t="str">
        <f aca="false">CONCATENATE("X",IF(Data!D279&lt;0,"-",""),TEXT(ABS(Data!D279),"0.0000"))</f>
        <v>X0.1420</v>
      </c>
      <c r="D290" s="16" t="str">
        <f aca="false">CONCATENATE("Y",IF(Data!E279&lt;0,"-",""),TEXT(ABS(Data!E279),"0.0000"))</f>
        <v>Y-1.1563</v>
      </c>
      <c r="E290" s="16" t="str">
        <f aca="false">CONCATENATE("Z",IF(Data!F279&lt;0,"-",""),TEXT(ABS(Data!F279),"0.0000"))</f>
        <v>Z-0.1303</v>
      </c>
      <c r="F290" s="16" t="str">
        <f aca="false">CONCATENATE("B",IF(Data!G279&lt;0,"-",""),TEXT(ABS(Data!G279),"0.0000"))</f>
        <v>B-12.8557</v>
      </c>
      <c r="G290" s="16" t="str">
        <f aca="false">CONCATENATE("C",IF(Data!A279&lt;0,"-",""),TEXT(ABS(Data!A279),"0.0000"))</f>
        <v>C277.0000</v>
      </c>
    </row>
    <row r="291" customFormat="false" ht="15" hidden="false" customHeight="false" outlineLevel="0" collapsed="false">
      <c r="A291" s="16" t="s">
        <v>337</v>
      </c>
      <c r="B291" s="16" t="s">
        <v>56</v>
      </c>
      <c r="C291" s="16" t="str">
        <f aca="false">CONCATENATE("X",IF(Data!D280&lt;0,"-",""),TEXT(ABS(Data!D280),"0.0000"))</f>
        <v>X0.1621</v>
      </c>
      <c r="D291" s="16" t="str">
        <f aca="false">CONCATENATE("Y",IF(Data!E280&lt;0,"-",""),TEXT(ABS(Data!E280),"0.0000"))</f>
        <v>Y-1.1537</v>
      </c>
      <c r="E291" s="16" t="str">
        <f aca="false">CONCATENATE("Z",IF(Data!F280&lt;0,"-",""),TEXT(ABS(Data!F280),"0.0000"))</f>
        <v>Z-0.1297</v>
      </c>
      <c r="F291" s="16" t="str">
        <f aca="false">CONCATENATE("B",IF(Data!G280&lt;0,"-",""),TEXT(ABS(Data!G280),"0.0000"))</f>
        <v>B-12.8257</v>
      </c>
      <c r="G291" s="16" t="str">
        <f aca="false">CONCATENATE("C",IF(Data!A280&lt;0,"-",""),TEXT(ABS(Data!A280),"0.0000"))</f>
        <v>C278.0000</v>
      </c>
    </row>
    <row r="292" customFormat="false" ht="15" hidden="false" customHeight="false" outlineLevel="0" collapsed="false">
      <c r="A292" s="16" t="s">
        <v>338</v>
      </c>
      <c r="B292" s="16" t="s">
        <v>56</v>
      </c>
      <c r="C292" s="16" t="str">
        <f aca="false">CONCATENATE("X",IF(Data!D281&lt;0,"-",""),TEXT(ABS(Data!D281),"0.0000"))</f>
        <v>X0.1822</v>
      </c>
      <c r="D292" s="16" t="str">
        <f aca="false">CONCATENATE("Y",IF(Data!E281&lt;0,"-",""),TEXT(ABS(Data!E281),"0.0000"))</f>
        <v>Y-1.1507</v>
      </c>
      <c r="E292" s="16" t="str">
        <f aca="false">CONCATENATE("Z",IF(Data!F281&lt;0,"-",""),TEXT(ABS(Data!F281),"0.0000"))</f>
        <v>Z-0.1290</v>
      </c>
      <c r="F292" s="16" t="str">
        <f aca="false">CONCATENATE("B",IF(Data!G281&lt;0,"-",""),TEXT(ABS(Data!G281),"0.0000"))</f>
        <v>B-12.7917</v>
      </c>
      <c r="G292" s="16" t="str">
        <f aca="false">CONCATENATE("C",IF(Data!A281&lt;0,"-",""),TEXT(ABS(Data!A281),"0.0000"))</f>
        <v>C279.0000</v>
      </c>
    </row>
    <row r="293" customFormat="false" ht="15" hidden="false" customHeight="false" outlineLevel="0" collapsed="false">
      <c r="A293" s="16" t="s">
        <v>339</v>
      </c>
      <c r="B293" s="16" t="s">
        <v>56</v>
      </c>
      <c r="C293" s="16" t="str">
        <f aca="false">CONCATENATE("X",IF(Data!D282&lt;0,"-",""),TEXT(ABS(Data!D282),"0.0000"))</f>
        <v>X0.2023</v>
      </c>
      <c r="D293" s="16" t="str">
        <f aca="false">CONCATENATE("Y",IF(Data!E282&lt;0,"-",""),TEXT(ABS(Data!E282),"0.0000"))</f>
        <v>Y-1.1473</v>
      </c>
      <c r="E293" s="16" t="str">
        <f aca="false">CONCATENATE("Z",IF(Data!F282&lt;0,"-",""),TEXT(ABS(Data!F282),"0.0000"))</f>
        <v>Z-0.1282</v>
      </c>
      <c r="F293" s="16" t="str">
        <f aca="false">CONCATENATE("B",IF(Data!G282&lt;0,"-",""),TEXT(ABS(Data!G282),"0.0000"))</f>
        <v>B-12.7538</v>
      </c>
      <c r="G293" s="16" t="str">
        <f aca="false">CONCATENATE("C",IF(Data!A282&lt;0,"-",""),TEXT(ABS(Data!A282),"0.0000"))</f>
        <v>C280.0000</v>
      </c>
    </row>
    <row r="294" customFormat="false" ht="15" hidden="false" customHeight="false" outlineLevel="0" collapsed="false">
      <c r="A294" s="16" t="s">
        <v>340</v>
      </c>
      <c r="B294" s="16" t="s">
        <v>56</v>
      </c>
      <c r="C294" s="16" t="str">
        <f aca="false">CONCATENATE("X",IF(Data!D283&lt;0,"-",""),TEXT(ABS(Data!D283),"0.0000"))</f>
        <v>X0.2223</v>
      </c>
      <c r="D294" s="16" t="str">
        <f aca="false">CONCATENATE("Y",IF(Data!E283&lt;0,"-",""),TEXT(ABS(Data!E283),"0.0000"))</f>
        <v>Y-1.1436</v>
      </c>
      <c r="E294" s="16" t="str">
        <f aca="false">CONCATENATE("Z",IF(Data!F283&lt;0,"-",""),TEXT(ABS(Data!F283),"0.0000"))</f>
        <v>Z-0.1274</v>
      </c>
      <c r="F294" s="16" t="str">
        <f aca="false">CONCATENATE("B",IF(Data!G283&lt;0,"-",""),TEXT(ABS(Data!G283),"0.0000"))</f>
        <v>B-12.7119</v>
      </c>
      <c r="G294" s="16" t="str">
        <f aca="false">CONCATENATE("C",IF(Data!A283&lt;0,"-",""),TEXT(ABS(Data!A283),"0.0000"))</f>
        <v>C281.0000</v>
      </c>
    </row>
    <row r="295" customFormat="false" ht="15" hidden="false" customHeight="false" outlineLevel="0" collapsed="false">
      <c r="A295" s="16" t="s">
        <v>341</v>
      </c>
      <c r="B295" s="16" t="s">
        <v>56</v>
      </c>
      <c r="C295" s="16" t="str">
        <f aca="false">CONCATENATE("X",IF(Data!D284&lt;0,"-",""),TEXT(ABS(Data!D284),"0.0000"))</f>
        <v>X0.2422</v>
      </c>
      <c r="D295" s="16" t="str">
        <f aca="false">CONCATENATE("Y",IF(Data!E284&lt;0,"-",""),TEXT(ABS(Data!E284),"0.0000"))</f>
        <v>Y-1.1395</v>
      </c>
      <c r="E295" s="16" t="str">
        <f aca="false">CONCATENATE("Z",IF(Data!F284&lt;0,"-",""),TEXT(ABS(Data!F284),"0.0000"))</f>
        <v>Z-0.1265</v>
      </c>
      <c r="F295" s="16" t="str">
        <f aca="false">CONCATENATE("B",IF(Data!G284&lt;0,"-",""),TEXT(ABS(Data!G284),"0.0000"))</f>
        <v>B-12.6661</v>
      </c>
      <c r="G295" s="16" t="str">
        <f aca="false">CONCATENATE("C",IF(Data!A284&lt;0,"-",""),TEXT(ABS(Data!A284),"0.0000"))</f>
        <v>C282.0000</v>
      </c>
    </row>
    <row r="296" customFormat="false" ht="15" hidden="false" customHeight="false" outlineLevel="0" collapsed="false">
      <c r="A296" s="16" t="s">
        <v>342</v>
      </c>
      <c r="B296" s="16" t="s">
        <v>56</v>
      </c>
      <c r="C296" s="16" t="str">
        <f aca="false">CONCATENATE("X",IF(Data!D285&lt;0,"-",""),TEXT(ABS(Data!D285),"0.0000"))</f>
        <v>X0.2621</v>
      </c>
      <c r="D296" s="16" t="str">
        <f aca="false">CONCATENATE("Y",IF(Data!E285&lt;0,"-",""),TEXT(ABS(Data!E285),"0.0000"))</f>
        <v>Y-1.1351</v>
      </c>
      <c r="E296" s="16" t="str">
        <f aca="false">CONCATENATE("Z",IF(Data!F285&lt;0,"-",""),TEXT(ABS(Data!F285),"0.0000"))</f>
        <v>Z-0.1255</v>
      </c>
      <c r="F296" s="16" t="str">
        <f aca="false">CONCATENATE("B",IF(Data!G285&lt;0,"-",""),TEXT(ABS(Data!G285),"0.0000"))</f>
        <v>B-12.6164</v>
      </c>
      <c r="G296" s="16" t="str">
        <f aca="false">CONCATENATE("C",IF(Data!A285&lt;0,"-",""),TEXT(ABS(Data!A285),"0.0000"))</f>
        <v>C283.0000</v>
      </c>
    </row>
    <row r="297" customFormat="false" ht="15" hidden="false" customHeight="false" outlineLevel="0" collapsed="false">
      <c r="A297" s="16" t="s">
        <v>343</v>
      </c>
      <c r="B297" s="16" t="s">
        <v>56</v>
      </c>
      <c r="C297" s="16" t="str">
        <f aca="false">CONCATENATE("X",IF(Data!D286&lt;0,"-",""),TEXT(ABS(Data!D286),"0.0000"))</f>
        <v>X0.2818</v>
      </c>
      <c r="D297" s="16" t="str">
        <f aca="false">CONCATENATE("Y",IF(Data!E286&lt;0,"-",""),TEXT(ABS(Data!E286),"0.0000"))</f>
        <v>Y-1.1304</v>
      </c>
      <c r="E297" s="16" t="str">
        <f aca="false">CONCATENATE("Z",IF(Data!F286&lt;0,"-",""),TEXT(ABS(Data!F286),"0.0000"))</f>
        <v>Z-0.1244</v>
      </c>
      <c r="F297" s="16" t="str">
        <f aca="false">CONCATENATE("B",IF(Data!G286&lt;0,"-",""),TEXT(ABS(Data!G286),"0.0000"))</f>
        <v>B-12.5628</v>
      </c>
      <c r="G297" s="16" t="str">
        <f aca="false">CONCATENATE("C",IF(Data!A286&lt;0,"-",""),TEXT(ABS(Data!A286),"0.0000"))</f>
        <v>C284.0000</v>
      </c>
    </row>
    <row r="298" customFormat="false" ht="15" hidden="false" customHeight="false" outlineLevel="0" collapsed="false">
      <c r="A298" s="16" t="s">
        <v>344</v>
      </c>
      <c r="B298" s="16" t="s">
        <v>56</v>
      </c>
      <c r="C298" s="16" t="str">
        <f aca="false">CONCATENATE("X",IF(Data!D287&lt;0,"-",""),TEXT(ABS(Data!D287),"0.0000"))</f>
        <v>X0.3015</v>
      </c>
      <c r="D298" s="16" t="str">
        <f aca="false">CONCATENATE("Y",IF(Data!E287&lt;0,"-",""),TEXT(ABS(Data!E287),"0.0000"))</f>
        <v>Y-1.1253</v>
      </c>
      <c r="E298" s="16" t="str">
        <f aca="false">CONCATENATE("Z",IF(Data!F287&lt;0,"-",""),TEXT(ABS(Data!F287),"0.0000"))</f>
        <v>Z-0.1233</v>
      </c>
      <c r="F298" s="16" t="str">
        <f aca="false">CONCATENATE("B",IF(Data!G287&lt;0,"-",""),TEXT(ABS(Data!G287),"0.0000"))</f>
        <v>B-12.5053</v>
      </c>
      <c r="G298" s="16" t="str">
        <f aca="false">CONCATENATE("C",IF(Data!A287&lt;0,"-",""),TEXT(ABS(Data!A287),"0.0000"))</f>
        <v>C285.0000</v>
      </c>
    </row>
    <row r="299" customFormat="false" ht="15" hidden="false" customHeight="false" outlineLevel="0" collapsed="false">
      <c r="A299" s="16" t="s">
        <v>345</v>
      </c>
      <c r="B299" s="16" t="s">
        <v>56</v>
      </c>
      <c r="C299" s="16" t="str">
        <f aca="false">CONCATENATE("X",IF(Data!D288&lt;0,"-",""),TEXT(ABS(Data!D288),"0.0000"))</f>
        <v>X0.3211</v>
      </c>
      <c r="D299" s="16" t="str">
        <f aca="false">CONCATENATE("Y",IF(Data!E288&lt;0,"-",""),TEXT(ABS(Data!E288),"0.0000"))</f>
        <v>Y-1.1199</v>
      </c>
      <c r="E299" s="16" t="str">
        <f aca="false">CONCATENATE("Z",IF(Data!F288&lt;0,"-",""),TEXT(ABS(Data!F288),"0.0000"))</f>
        <v>Z-0.1221</v>
      </c>
      <c r="F299" s="16" t="str">
        <f aca="false">CONCATENATE("B",IF(Data!G288&lt;0,"-",""),TEXT(ABS(Data!G288),"0.0000"))</f>
        <v>B-12.4439</v>
      </c>
      <c r="G299" s="16" t="str">
        <f aca="false">CONCATENATE("C",IF(Data!A288&lt;0,"-",""),TEXT(ABS(Data!A288),"0.0000"))</f>
        <v>C286.0000</v>
      </c>
    </row>
    <row r="300" customFormat="false" ht="15" hidden="false" customHeight="false" outlineLevel="0" collapsed="false">
      <c r="A300" s="16" t="s">
        <v>346</v>
      </c>
      <c r="B300" s="16" t="s">
        <v>56</v>
      </c>
      <c r="C300" s="16" t="str">
        <f aca="false">CONCATENATE("X",IF(Data!D289&lt;0,"-",""),TEXT(ABS(Data!D289),"0.0000"))</f>
        <v>X0.3406</v>
      </c>
      <c r="D300" s="16" t="str">
        <f aca="false">CONCATENATE("Y",IF(Data!E289&lt;0,"-",""),TEXT(ABS(Data!E289),"0.0000"))</f>
        <v>Y-1.1141</v>
      </c>
      <c r="E300" s="16" t="str">
        <f aca="false">CONCATENATE("Z",IF(Data!F289&lt;0,"-",""),TEXT(ABS(Data!F289),"0.0000"))</f>
        <v>Z-0.1208</v>
      </c>
      <c r="F300" s="16" t="str">
        <f aca="false">CONCATENATE("B",IF(Data!G289&lt;0,"-",""),TEXT(ABS(Data!G289),"0.0000"))</f>
        <v>B-12.3787</v>
      </c>
      <c r="G300" s="16" t="str">
        <f aca="false">CONCATENATE("C",IF(Data!A289&lt;0,"-",""),TEXT(ABS(Data!A289),"0.0000"))</f>
        <v>C287.0000</v>
      </c>
    </row>
    <row r="301" customFormat="false" ht="15" hidden="false" customHeight="false" outlineLevel="0" collapsed="false">
      <c r="A301" s="16" t="s">
        <v>347</v>
      </c>
      <c r="B301" s="16" t="s">
        <v>56</v>
      </c>
      <c r="C301" s="16" t="str">
        <f aca="false">CONCATENATE("X",IF(Data!D290&lt;0,"-",""),TEXT(ABS(Data!D290),"0.0000"))</f>
        <v>X0.3600</v>
      </c>
      <c r="D301" s="16" t="str">
        <f aca="false">CONCATENATE("Y",IF(Data!E290&lt;0,"-",""),TEXT(ABS(Data!E290),"0.0000"))</f>
        <v>Y-1.1080</v>
      </c>
      <c r="E301" s="16" t="str">
        <f aca="false">CONCATENATE("Z",IF(Data!F290&lt;0,"-",""),TEXT(ABS(Data!F290),"0.0000"))</f>
        <v>Z-0.1195</v>
      </c>
      <c r="F301" s="16" t="str">
        <f aca="false">CONCATENATE("B",IF(Data!G290&lt;0,"-",""),TEXT(ABS(Data!G290),"0.0000"))</f>
        <v>B-12.3097</v>
      </c>
      <c r="G301" s="16" t="str">
        <f aca="false">CONCATENATE("C",IF(Data!A290&lt;0,"-",""),TEXT(ABS(Data!A290),"0.0000"))</f>
        <v>C288.0000</v>
      </c>
    </row>
    <row r="302" customFormat="false" ht="15" hidden="false" customHeight="false" outlineLevel="0" collapsed="false">
      <c r="A302" s="16" t="s">
        <v>348</v>
      </c>
      <c r="B302" s="16" t="s">
        <v>56</v>
      </c>
      <c r="C302" s="16" t="str">
        <f aca="false">CONCATENATE("X",IF(Data!D291&lt;0,"-",""),TEXT(ABS(Data!D291),"0.0000"))</f>
        <v>X0.3793</v>
      </c>
      <c r="D302" s="16" t="str">
        <f aca="false">CONCATENATE("Y",IF(Data!E291&lt;0,"-",""),TEXT(ABS(Data!E291),"0.0000"))</f>
        <v>Y-1.1015</v>
      </c>
      <c r="E302" s="16" t="str">
        <f aca="false">CONCATENATE("Z",IF(Data!F291&lt;0,"-",""),TEXT(ABS(Data!F291),"0.0000"))</f>
        <v>Z-0.1181</v>
      </c>
      <c r="F302" s="16" t="str">
        <f aca="false">CONCATENATE("B",IF(Data!G291&lt;0,"-",""),TEXT(ABS(Data!G291),"0.0000"))</f>
        <v>B-12.2369</v>
      </c>
      <c r="G302" s="16" t="str">
        <f aca="false">CONCATENATE("C",IF(Data!A291&lt;0,"-",""),TEXT(ABS(Data!A291),"0.0000"))</f>
        <v>C289.0000</v>
      </c>
    </row>
    <row r="303" customFormat="false" ht="15" hidden="false" customHeight="false" outlineLevel="0" collapsed="false">
      <c r="A303" s="16" t="s">
        <v>349</v>
      </c>
      <c r="B303" s="16" t="s">
        <v>56</v>
      </c>
      <c r="C303" s="16" t="str">
        <f aca="false">CONCATENATE("X",IF(Data!D292&lt;0,"-",""),TEXT(ABS(Data!D292),"0.0000"))</f>
        <v>X0.3985</v>
      </c>
      <c r="D303" s="16" t="str">
        <f aca="false">CONCATENATE("Y",IF(Data!E292&lt;0,"-",""),TEXT(ABS(Data!E292),"0.0000"))</f>
        <v>Y-1.0947</v>
      </c>
      <c r="E303" s="16" t="str">
        <f aca="false">CONCATENATE("Z",IF(Data!F292&lt;0,"-",""),TEXT(ABS(Data!F292),"0.0000"))</f>
        <v>Z-0.1166</v>
      </c>
      <c r="F303" s="16" t="str">
        <f aca="false">CONCATENATE("B",IF(Data!G292&lt;0,"-",""),TEXT(ABS(Data!G292),"0.0000"))</f>
        <v>B-12.1604</v>
      </c>
      <c r="G303" s="16" t="str">
        <f aca="false">CONCATENATE("C",IF(Data!A292&lt;0,"-",""),TEXT(ABS(Data!A292),"0.0000"))</f>
        <v>C290.0000</v>
      </c>
    </row>
    <row r="304" customFormat="false" ht="15" hidden="false" customHeight="false" outlineLevel="0" collapsed="false">
      <c r="A304" s="16" t="s">
        <v>350</v>
      </c>
      <c r="B304" s="16" t="s">
        <v>56</v>
      </c>
      <c r="C304" s="16" t="str">
        <f aca="false">CONCATENATE("X",IF(Data!D293&lt;0,"-",""),TEXT(ABS(Data!D293),"0.0000"))</f>
        <v>X0.4175</v>
      </c>
      <c r="D304" s="16" t="str">
        <f aca="false">CONCATENATE("Y",IF(Data!E293&lt;0,"-",""),TEXT(ABS(Data!E293),"0.0000"))</f>
        <v>Y-1.0876</v>
      </c>
      <c r="E304" s="16" t="str">
        <f aca="false">CONCATENATE("Z",IF(Data!F293&lt;0,"-",""),TEXT(ABS(Data!F293),"0.0000"))</f>
        <v>Z-0.1151</v>
      </c>
      <c r="F304" s="16" t="str">
        <f aca="false">CONCATENATE("B",IF(Data!G293&lt;0,"-",""),TEXT(ABS(Data!G293),"0.0000"))</f>
        <v>B-12.0801</v>
      </c>
      <c r="G304" s="16" t="str">
        <f aca="false">CONCATENATE("C",IF(Data!A293&lt;0,"-",""),TEXT(ABS(Data!A293),"0.0000"))</f>
        <v>C291.0000</v>
      </c>
    </row>
    <row r="305" customFormat="false" ht="15" hidden="false" customHeight="false" outlineLevel="0" collapsed="false">
      <c r="A305" s="16" t="s">
        <v>351</v>
      </c>
      <c r="B305" s="16" t="s">
        <v>56</v>
      </c>
      <c r="C305" s="16" t="str">
        <f aca="false">CONCATENATE("X",IF(Data!D294&lt;0,"-",""),TEXT(ABS(Data!D294),"0.0000"))</f>
        <v>X0.4364</v>
      </c>
      <c r="D305" s="16" t="str">
        <f aca="false">CONCATENATE("Y",IF(Data!E294&lt;0,"-",""),TEXT(ABS(Data!E294),"0.0000"))</f>
        <v>Y-1.0802</v>
      </c>
      <c r="E305" s="16" t="str">
        <f aca="false">CONCATENATE("Z",IF(Data!F294&lt;0,"-",""),TEXT(ABS(Data!F294),"0.0000"))</f>
        <v>Z-0.1135</v>
      </c>
      <c r="F305" s="16" t="str">
        <f aca="false">CONCATENATE("B",IF(Data!G294&lt;0,"-",""),TEXT(ABS(Data!G294),"0.0000"))</f>
        <v>B-11.9961</v>
      </c>
      <c r="G305" s="16" t="str">
        <f aca="false">CONCATENATE("C",IF(Data!A294&lt;0,"-",""),TEXT(ABS(Data!A294),"0.0000"))</f>
        <v>C292.0000</v>
      </c>
    </row>
    <row r="306" customFormat="false" ht="15" hidden="false" customHeight="false" outlineLevel="0" collapsed="false">
      <c r="A306" s="16" t="s">
        <v>352</v>
      </c>
      <c r="B306" s="16" t="s">
        <v>56</v>
      </c>
      <c r="C306" s="16" t="str">
        <f aca="false">CONCATENATE("X",IF(Data!D295&lt;0,"-",""),TEXT(ABS(Data!D295),"0.0000"))</f>
        <v>X0.4552</v>
      </c>
      <c r="D306" s="16" t="str">
        <f aca="false">CONCATENATE("Y",IF(Data!E295&lt;0,"-",""),TEXT(ABS(Data!E295),"0.0000"))</f>
        <v>Y-1.0724</v>
      </c>
      <c r="E306" s="16" t="str">
        <f aca="false">CONCATENATE("Z",IF(Data!F295&lt;0,"-",""),TEXT(ABS(Data!F295),"0.0000"))</f>
        <v>Z-0.1118</v>
      </c>
      <c r="F306" s="16" t="str">
        <f aca="false">CONCATENATE("B",IF(Data!G295&lt;0,"-",""),TEXT(ABS(Data!G295),"0.0000"))</f>
        <v>B-11.9084</v>
      </c>
      <c r="G306" s="16" t="str">
        <f aca="false">CONCATENATE("C",IF(Data!A295&lt;0,"-",""),TEXT(ABS(Data!A295),"0.0000"))</f>
        <v>C293.0000</v>
      </c>
    </row>
    <row r="307" customFormat="false" ht="15" hidden="false" customHeight="false" outlineLevel="0" collapsed="false">
      <c r="A307" s="16" t="s">
        <v>353</v>
      </c>
      <c r="B307" s="16" t="s">
        <v>56</v>
      </c>
      <c r="C307" s="16" t="str">
        <f aca="false">CONCATENATE("X",IF(Data!D296&lt;0,"-",""),TEXT(ABS(Data!D296),"0.0000"))</f>
        <v>X0.4738</v>
      </c>
      <c r="D307" s="16" t="str">
        <f aca="false">CONCATENATE("Y",IF(Data!E296&lt;0,"-",""),TEXT(ABS(Data!E296),"0.0000"))</f>
        <v>Y-1.0643</v>
      </c>
      <c r="E307" s="16" t="str">
        <f aca="false">CONCATENATE("Z",IF(Data!F296&lt;0,"-",""),TEXT(ABS(Data!F296),"0.0000"))</f>
        <v>Z-0.1101</v>
      </c>
      <c r="F307" s="16" t="str">
        <f aca="false">CONCATENATE("B",IF(Data!G296&lt;0,"-",""),TEXT(ABS(Data!G296),"0.0000"))</f>
        <v>B-11.8171</v>
      </c>
      <c r="G307" s="16" t="str">
        <f aca="false">CONCATENATE("C",IF(Data!A296&lt;0,"-",""),TEXT(ABS(Data!A296),"0.0000"))</f>
        <v>C294.0000</v>
      </c>
    </row>
    <row r="308" customFormat="false" ht="15" hidden="false" customHeight="false" outlineLevel="0" collapsed="false">
      <c r="A308" s="16" t="s">
        <v>354</v>
      </c>
      <c r="B308" s="16" t="s">
        <v>56</v>
      </c>
      <c r="C308" s="16" t="str">
        <f aca="false">CONCATENATE("X",IF(Data!D297&lt;0,"-",""),TEXT(ABS(Data!D297),"0.0000"))</f>
        <v>X0.4924</v>
      </c>
      <c r="D308" s="16" t="str">
        <f aca="false">CONCATENATE("Y",IF(Data!E297&lt;0,"-",""),TEXT(ABS(Data!E297),"0.0000"))</f>
        <v>Y-1.0558</v>
      </c>
      <c r="E308" s="16" t="str">
        <f aca="false">CONCATENATE("Z",IF(Data!F297&lt;0,"-",""),TEXT(ABS(Data!F297),"0.0000"))</f>
        <v>Z-0.1084</v>
      </c>
      <c r="F308" s="16" t="str">
        <f aca="false">CONCATENATE("B",IF(Data!G297&lt;0,"-",""),TEXT(ABS(Data!G297),"0.0000"))</f>
        <v>B-11.7221</v>
      </c>
      <c r="G308" s="16" t="str">
        <f aca="false">CONCATENATE("C",IF(Data!A297&lt;0,"-",""),TEXT(ABS(Data!A297),"0.0000"))</f>
        <v>C295.0000</v>
      </c>
    </row>
    <row r="309" customFormat="false" ht="15" hidden="false" customHeight="false" outlineLevel="0" collapsed="false">
      <c r="A309" s="16" t="s">
        <v>355</v>
      </c>
      <c r="B309" s="16" t="s">
        <v>56</v>
      </c>
      <c r="C309" s="16" t="str">
        <f aca="false">CONCATENATE("X",IF(Data!D298&lt;0,"-",""),TEXT(ABS(Data!D298),"0.0000"))</f>
        <v>X0.5107</v>
      </c>
      <c r="D309" s="16" t="str">
        <f aca="false">CONCATENATE("Y",IF(Data!E298&lt;0,"-",""),TEXT(ABS(Data!E298),"0.0000"))</f>
        <v>Y-1.0471</v>
      </c>
      <c r="E309" s="16" t="str">
        <f aca="false">CONCATENATE("Z",IF(Data!F298&lt;0,"-",""),TEXT(ABS(Data!F298),"0.0000"))</f>
        <v>Z-0.1066</v>
      </c>
      <c r="F309" s="16" t="str">
        <f aca="false">CONCATENATE("B",IF(Data!G298&lt;0,"-",""),TEXT(ABS(Data!G298),"0.0000"))</f>
        <v>B-11.6236</v>
      </c>
      <c r="G309" s="16" t="str">
        <f aca="false">CONCATENATE("C",IF(Data!A298&lt;0,"-",""),TEXT(ABS(Data!A298),"0.0000"))</f>
        <v>C296.0000</v>
      </c>
    </row>
    <row r="310" customFormat="false" ht="15" hidden="false" customHeight="false" outlineLevel="0" collapsed="false">
      <c r="A310" s="16" t="s">
        <v>356</v>
      </c>
      <c r="B310" s="16" t="s">
        <v>56</v>
      </c>
      <c r="C310" s="16" t="str">
        <f aca="false">CONCATENATE("X",IF(Data!D299&lt;0,"-",""),TEXT(ABS(Data!D299),"0.0000"))</f>
        <v>X0.5289</v>
      </c>
      <c r="D310" s="16" t="str">
        <f aca="false">CONCATENATE("Y",IF(Data!E299&lt;0,"-",""),TEXT(ABS(Data!E299),"0.0000"))</f>
        <v>Y-1.0380</v>
      </c>
      <c r="E310" s="16" t="str">
        <f aca="false">CONCATENATE("Z",IF(Data!F299&lt;0,"-",""),TEXT(ABS(Data!F299),"0.0000"))</f>
        <v>Z-0.1047</v>
      </c>
      <c r="F310" s="16" t="str">
        <f aca="false">CONCATENATE("B",IF(Data!G299&lt;0,"-",""),TEXT(ABS(Data!G299),"0.0000"))</f>
        <v>B-11.5215</v>
      </c>
      <c r="G310" s="16" t="str">
        <f aca="false">CONCATENATE("C",IF(Data!A299&lt;0,"-",""),TEXT(ABS(Data!A299),"0.0000"))</f>
        <v>C297.0000</v>
      </c>
    </row>
    <row r="311" customFormat="false" ht="15" hidden="false" customHeight="false" outlineLevel="0" collapsed="false">
      <c r="A311" s="16" t="s">
        <v>357</v>
      </c>
      <c r="B311" s="16" t="s">
        <v>56</v>
      </c>
      <c r="C311" s="16" t="str">
        <f aca="false">CONCATENATE("X",IF(Data!D300&lt;0,"-",""),TEXT(ABS(Data!D300),"0.0000"))</f>
        <v>X0.5469</v>
      </c>
      <c r="D311" s="16" t="str">
        <f aca="false">CONCATENATE("Y",IF(Data!E300&lt;0,"-",""),TEXT(ABS(Data!E300),"0.0000"))</f>
        <v>Y-1.0286</v>
      </c>
      <c r="E311" s="16" t="str">
        <f aca="false">CONCATENATE("Z",IF(Data!F300&lt;0,"-",""),TEXT(ABS(Data!F300),"0.0000"))</f>
        <v>Z-0.1028</v>
      </c>
      <c r="F311" s="16" t="str">
        <f aca="false">CONCATENATE("B",IF(Data!G300&lt;0,"-",""),TEXT(ABS(Data!G300),"0.0000"))</f>
        <v>B-11.4158</v>
      </c>
      <c r="G311" s="16" t="str">
        <f aca="false">CONCATENATE("C",IF(Data!A300&lt;0,"-",""),TEXT(ABS(Data!A300),"0.0000"))</f>
        <v>C298.0000</v>
      </c>
    </row>
    <row r="312" customFormat="false" ht="15" hidden="false" customHeight="false" outlineLevel="0" collapsed="false">
      <c r="A312" s="16" t="s">
        <v>358</v>
      </c>
      <c r="B312" s="16" t="s">
        <v>56</v>
      </c>
      <c r="C312" s="16" t="str">
        <f aca="false">CONCATENATE("X",IF(Data!D301&lt;0,"-",""),TEXT(ABS(Data!D301),"0.0000"))</f>
        <v>X0.5648</v>
      </c>
      <c r="D312" s="16" t="str">
        <f aca="false">CONCATENATE("Y",IF(Data!E301&lt;0,"-",""),TEXT(ABS(Data!E301),"0.0000"))</f>
        <v>Y-1.0189</v>
      </c>
      <c r="E312" s="16" t="str">
        <f aca="false">CONCATENATE("Z",IF(Data!F301&lt;0,"-",""),TEXT(ABS(Data!F301),"0.0000"))</f>
        <v>Z-0.1009</v>
      </c>
      <c r="F312" s="16" t="str">
        <f aca="false">CONCATENATE("B",IF(Data!G301&lt;0,"-",""),TEXT(ABS(Data!G301),"0.0000"))</f>
        <v>B-11.3067</v>
      </c>
      <c r="G312" s="16" t="str">
        <f aca="false">CONCATENATE("C",IF(Data!A301&lt;0,"-",""),TEXT(ABS(Data!A301),"0.0000"))</f>
        <v>C299.0000</v>
      </c>
    </row>
    <row r="313" customFormat="false" ht="15" hidden="false" customHeight="false" outlineLevel="0" collapsed="false">
      <c r="A313" s="16" t="s">
        <v>359</v>
      </c>
      <c r="B313" s="16" t="s">
        <v>56</v>
      </c>
      <c r="C313" s="16" t="str">
        <f aca="false">CONCATENATE("X",IF(Data!D302&lt;0,"-",""),TEXT(ABS(Data!D302),"0.0000"))</f>
        <v>X0.5825</v>
      </c>
      <c r="D313" s="16" t="str">
        <f aca="false">CONCATENATE("Y",IF(Data!E302&lt;0,"-",""),TEXT(ABS(Data!E302),"0.0000"))</f>
        <v>Y-1.0089</v>
      </c>
      <c r="E313" s="16" t="str">
        <f aca="false">CONCATENATE("Z",IF(Data!F302&lt;0,"-",""),TEXT(ABS(Data!F302),"0.0000"))</f>
        <v>Z-0.0989</v>
      </c>
      <c r="F313" s="16" t="str">
        <f aca="false">CONCATENATE("B",IF(Data!G302&lt;0,"-",""),TEXT(ABS(Data!G302),"0.0000"))</f>
        <v>B-11.1942</v>
      </c>
      <c r="G313" s="16" t="str">
        <f aca="false">CONCATENATE("C",IF(Data!A302&lt;0,"-",""),TEXT(ABS(Data!A302),"0.0000"))</f>
        <v>C300.0000</v>
      </c>
    </row>
    <row r="314" customFormat="false" ht="15" hidden="false" customHeight="false" outlineLevel="0" collapsed="false">
      <c r="A314" s="16" t="s">
        <v>360</v>
      </c>
      <c r="B314" s="16" t="s">
        <v>56</v>
      </c>
      <c r="C314" s="16" t="str">
        <f aca="false">CONCATENATE("X",IF(Data!D303&lt;0,"-",""),TEXT(ABS(Data!D303),"0.0000"))</f>
        <v>X0.6000</v>
      </c>
      <c r="D314" s="16" t="str">
        <f aca="false">CONCATENATE("Y",IF(Data!E303&lt;0,"-",""),TEXT(ABS(Data!E303),"0.0000"))</f>
        <v>Y-0.9986</v>
      </c>
      <c r="E314" s="16" t="str">
        <f aca="false">CONCATENATE("Z",IF(Data!F303&lt;0,"-",""),TEXT(ABS(Data!F303),"0.0000"))</f>
        <v>Z-0.0968</v>
      </c>
      <c r="F314" s="16" t="str">
        <f aca="false">CONCATENATE("B",IF(Data!G303&lt;0,"-",""),TEXT(ABS(Data!G303),"0.0000"))</f>
        <v>B-11.0782</v>
      </c>
      <c r="G314" s="16" t="str">
        <f aca="false">CONCATENATE("C",IF(Data!A303&lt;0,"-",""),TEXT(ABS(Data!A303),"0.0000"))</f>
        <v>C301.0000</v>
      </c>
    </row>
    <row r="315" customFormat="false" ht="15" hidden="false" customHeight="false" outlineLevel="0" collapsed="false">
      <c r="A315" s="16" t="s">
        <v>361</v>
      </c>
      <c r="B315" s="16" t="s">
        <v>56</v>
      </c>
      <c r="C315" s="16" t="str">
        <f aca="false">CONCATENATE("X",IF(Data!D304&lt;0,"-",""),TEXT(ABS(Data!D304),"0.0000"))</f>
        <v>X0.6174</v>
      </c>
      <c r="D315" s="16" t="str">
        <f aca="false">CONCATENATE("Y",IF(Data!E304&lt;0,"-",""),TEXT(ABS(Data!E304),"0.0000"))</f>
        <v>Y-0.9880</v>
      </c>
      <c r="E315" s="16" t="str">
        <f aca="false">CONCATENATE("Z",IF(Data!F304&lt;0,"-",""),TEXT(ABS(Data!F304),"0.0000"))</f>
        <v>Z-0.0948</v>
      </c>
      <c r="F315" s="16" t="str">
        <f aca="false">CONCATENATE("B",IF(Data!G304&lt;0,"-",""),TEXT(ABS(Data!G304),"0.0000"))</f>
        <v>B-10.9589</v>
      </c>
      <c r="G315" s="16" t="str">
        <f aca="false">CONCATENATE("C",IF(Data!A304&lt;0,"-",""),TEXT(ABS(Data!A304),"0.0000"))</f>
        <v>C302.0000</v>
      </c>
    </row>
    <row r="316" customFormat="false" ht="15" hidden="false" customHeight="false" outlineLevel="0" collapsed="false">
      <c r="A316" s="16" t="s">
        <v>362</v>
      </c>
      <c r="B316" s="16" t="s">
        <v>56</v>
      </c>
      <c r="C316" s="16" t="str">
        <f aca="false">CONCATENATE("X",IF(Data!D305&lt;0,"-",""),TEXT(ABS(Data!D305),"0.0000"))</f>
        <v>X0.6345</v>
      </c>
      <c r="D316" s="16" t="str">
        <f aca="false">CONCATENATE("Y",IF(Data!E305&lt;0,"-",""),TEXT(ABS(Data!E305),"0.0000"))</f>
        <v>Y-0.9771</v>
      </c>
      <c r="E316" s="16" t="str">
        <f aca="false">CONCATENATE("Z",IF(Data!F305&lt;0,"-",""),TEXT(ABS(Data!F305),"0.0000"))</f>
        <v>Z-0.0927</v>
      </c>
      <c r="F316" s="16" t="str">
        <f aca="false">CONCATENATE("B",IF(Data!G305&lt;0,"-",""),TEXT(ABS(Data!G305),"0.0000"))</f>
        <v>B-10.8363</v>
      </c>
      <c r="G316" s="16" t="str">
        <f aca="false">CONCATENATE("C",IF(Data!A305&lt;0,"-",""),TEXT(ABS(Data!A305),"0.0000"))</f>
        <v>C303.0000</v>
      </c>
    </row>
    <row r="317" customFormat="false" ht="15" hidden="false" customHeight="false" outlineLevel="0" collapsed="false">
      <c r="A317" s="16" t="s">
        <v>363</v>
      </c>
      <c r="B317" s="16" t="s">
        <v>56</v>
      </c>
      <c r="C317" s="16" t="str">
        <f aca="false">CONCATENATE("X",IF(Data!D306&lt;0,"-",""),TEXT(ABS(Data!D306),"0.0000"))</f>
        <v>X0.6515</v>
      </c>
      <c r="D317" s="16" t="str">
        <f aca="false">CONCATENATE("Y",IF(Data!E306&lt;0,"-",""),TEXT(ABS(Data!E306),"0.0000"))</f>
        <v>Y-0.9658</v>
      </c>
      <c r="E317" s="16" t="str">
        <f aca="false">CONCATENATE("Z",IF(Data!F306&lt;0,"-",""),TEXT(ABS(Data!F306),"0.0000"))</f>
        <v>Z-0.0905</v>
      </c>
      <c r="F317" s="16" t="str">
        <f aca="false">CONCATENATE("B",IF(Data!G306&lt;0,"-",""),TEXT(ABS(Data!G306),"0.0000"))</f>
        <v>B-10.7103</v>
      </c>
      <c r="G317" s="16" t="str">
        <f aca="false">CONCATENATE("C",IF(Data!A306&lt;0,"-",""),TEXT(ABS(Data!A306),"0.0000"))</f>
        <v>C304.0000</v>
      </c>
    </row>
    <row r="318" customFormat="false" ht="15" hidden="false" customHeight="false" outlineLevel="0" collapsed="false">
      <c r="A318" s="16" t="s">
        <v>364</v>
      </c>
      <c r="B318" s="16" t="s">
        <v>56</v>
      </c>
      <c r="C318" s="16" t="str">
        <f aca="false">CONCATENATE("X",IF(Data!D307&lt;0,"-",""),TEXT(ABS(Data!D307),"0.0000"))</f>
        <v>X0.6682</v>
      </c>
      <c r="D318" s="16" t="str">
        <f aca="false">CONCATENATE("Y",IF(Data!E307&lt;0,"-",""),TEXT(ABS(Data!E307),"0.0000"))</f>
        <v>Y-0.9543</v>
      </c>
      <c r="E318" s="16" t="str">
        <f aca="false">CONCATENATE("Z",IF(Data!F307&lt;0,"-",""),TEXT(ABS(Data!F307),"0.0000"))</f>
        <v>Z-0.0884</v>
      </c>
      <c r="F318" s="16" t="str">
        <f aca="false">CONCATENATE("B",IF(Data!G307&lt;0,"-",""),TEXT(ABS(Data!G307),"0.0000"))</f>
        <v>B-10.5811</v>
      </c>
      <c r="G318" s="16" t="str">
        <f aca="false">CONCATENATE("C",IF(Data!A307&lt;0,"-",""),TEXT(ABS(Data!A307),"0.0000"))</f>
        <v>C305.0000</v>
      </c>
    </row>
    <row r="319" customFormat="false" ht="15" hidden="false" customHeight="false" outlineLevel="0" collapsed="false">
      <c r="A319" s="16" t="s">
        <v>365</v>
      </c>
      <c r="B319" s="16" t="s">
        <v>56</v>
      </c>
      <c r="C319" s="16" t="str">
        <f aca="false">CONCATENATE("X",IF(Data!D308&lt;0,"-",""),TEXT(ABS(Data!D308),"0.0000"))</f>
        <v>X0.6848</v>
      </c>
      <c r="D319" s="16" t="str">
        <f aca="false">CONCATENATE("Y",IF(Data!E308&lt;0,"-",""),TEXT(ABS(Data!E308),"0.0000"))</f>
        <v>Y-0.9425</v>
      </c>
      <c r="E319" s="16" t="str">
        <f aca="false">CONCATENATE("Z",IF(Data!F308&lt;0,"-",""),TEXT(ABS(Data!F308),"0.0000"))</f>
        <v>Z-0.0862</v>
      </c>
      <c r="F319" s="16" t="str">
        <f aca="false">CONCATENATE("B",IF(Data!G308&lt;0,"-",""),TEXT(ABS(Data!G308),"0.0000"))</f>
        <v>B-10.4487</v>
      </c>
      <c r="G319" s="16" t="str">
        <f aca="false">CONCATENATE("C",IF(Data!A308&lt;0,"-",""),TEXT(ABS(Data!A308),"0.0000"))</f>
        <v>C306.0000</v>
      </c>
    </row>
    <row r="320" customFormat="false" ht="15" hidden="false" customHeight="false" outlineLevel="0" collapsed="false">
      <c r="A320" s="16" t="s">
        <v>366</v>
      </c>
      <c r="B320" s="16" t="s">
        <v>56</v>
      </c>
      <c r="C320" s="16" t="str">
        <f aca="false">CONCATENATE("X",IF(Data!D309&lt;0,"-",""),TEXT(ABS(Data!D309),"0.0000"))</f>
        <v>X0.7011</v>
      </c>
      <c r="D320" s="16" t="str">
        <f aca="false">CONCATENATE("Y",IF(Data!E309&lt;0,"-",""),TEXT(ABS(Data!E309),"0.0000"))</f>
        <v>Y-0.9304</v>
      </c>
      <c r="E320" s="16" t="str">
        <f aca="false">CONCATENATE("Z",IF(Data!F309&lt;0,"-",""),TEXT(ABS(Data!F309),"0.0000"))</f>
        <v>Z-0.0840</v>
      </c>
      <c r="F320" s="16" t="str">
        <f aca="false">CONCATENATE("B",IF(Data!G309&lt;0,"-",""),TEXT(ABS(Data!G309),"0.0000"))</f>
        <v>B-10.3132</v>
      </c>
      <c r="G320" s="16" t="str">
        <f aca="false">CONCATENATE("C",IF(Data!A309&lt;0,"-",""),TEXT(ABS(Data!A309),"0.0000"))</f>
        <v>C307.0000</v>
      </c>
    </row>
    <row r="321" customFormat="false" ht="15" hidden="false" customHeight="false" outlineLevel="0" collapsed="false">
      <c r="A321" s="16" t="s">
        <v>367</v>
      </c>
      <c r="B321" s="16" t="s">
        <v>56</v>
      </c>
      <c r="C321" s="16" t="str">
        <f aca="false">CONCATENATE("X",IF(Data!D310&lt;0,"-",""),TEXT(ABS(Data!D310),"0.0000"))</f>
        <v>X0.7172</v>
      </c>
      <c r="D321" s="16" t="str">
        <f aca="false">CONCATENATE("Y",IF(Data!E310&lt;0,"-",""),TEXT(ABS(Data!E310),"0.0000"))</f>
        <v>Y-0.9180</v>
      </c>
      <c r="E321" s="16" t="str">
        <f aca="false">CONCATENATE("Z",IF(Data!F310&lt;0,"-",""),TEXT(ABS(Data!F310),"0.0000"))</f>
        <v>Z-0.0817</v>
      </c>
      <c r="F321" s="16" t="str">
        <f aca="false">CONCATENATE("B",IF(Data!G310&lt;0,"-",""),TEXT(ABS(Data!G310),"0.0000"))</f>
        <v>B-10.1745</v>
      </c>
      <c r="G321" s="16" t="str">
        <f aca="false">CONCATENATE("C",IF(Data!A310&lt;0,"-",""),TEXT(ABS(Data!A310),"0.0000"))</f>
        <v>C308.0000</v>
      </c>
    </row>
    <row r="322" customFormat="false" ht="15" hidden="false" customHeight="false" outlineLevel="0" collapsed="false">
      <c r="A322" s="16" t="s">
        <v>368</v>
      </c>
      <c r="B322" s="16" t="s">
        <v>56</v>
      </c>
      <c r="C322" s="16" t="str">
        <f aca="false">CONCATENATE("X",IF(Data!D311&lt;0,"-",""),TEXT(ABS(Data!D311),"0.0000"))</f>
        <v>X0.7332</v>
      </c>
      <c r="D322" s="16" t="str">
        <f aca="false">CONCATENATE("Y",IF(Data!E311&lt;0,"-",""),TEXT(ABS(Data!E311),"0.0000"))</f>
        <v>Y-0.9054</v>
      </c>
      <c r="E322" s="16" t="str">
        <f aca="false">CONCATENATE("Z",IF(Data!F311&lt;0,"-",""),TEXT(ABS(Data!F311),"0.0000"))</f>
        <v>Z-0.0795</v>
      </c>
      <c r="F322" s="16" t="str">
        <f aca="false">CONCATENATE("B",IF(Data!G311&lt;0,"-",""),TEXT(ABS(Data!G311),"0.0000"))</f>
        <v>B-10.0328</v>
      </c>
      <c r="G322" s="16" t="str">
        <f aca="false">CONCATENATE("C",IF(Data!A311&lt;0,"-",""),TEXT(ABS(Data!A311),"0.0000"))</f>
        <v>C309.0000</v>
      </c>
    </row>
    <row r="323" customFormat="false" ht="15" hidden="false" customHeight="false" outlineLevel="0" collapsed="false">
      <c r="A323" s="16" t="s">
        <v>369</v>
      </c>
      <c r="B323" s="16" t="s">
        <v>56</v>
      </c>
      <c r="C323" s="16" t="str">
        <f aca="false">CONCATENATE("X",IF(Data!D312&lt;0,"-",""),TEXT(ABS(Data!D312),"0.0000"))</f>
        <v>X0.7488</v>
      </c>
      <c r="D323" s="16" t="str">
        <f aca="false">CONCATENATE("Y",IF(Data!E312&lt;0,"-",""),TEXT(ABS(Data!E312),"0.0000"))</f>
        <v>Y-0.8924</v>
      </c>
      <c r="E323" s="16" t="str">
        <f aca="false">CONCATENATE("Z",IF(Data!F312&lt;0,"-",""),TEXT(ABS(Data!F312),"0.0000"))</f>
        <v>Z-0.0772</v>
      </c>
      <c r="F323" s="16" t="str">
        <f aca="false">CONCATENATE("B",IF(Data!G312&lt;0,"-",""),TEXT(ABS(Data!G312),"0.0000"))</f>
        <v>B-9.8880</v>
      </c>
      <c r="G323" s="16" t="str">
        <f aca="false">CONCATENATE("C",IF(Data!A312&lt;0,"-",""),TEXT(ABS(Data!A312),"0.0000"))</f>
        <v>C310.0000</v>
      </c>
    </row>
    <row r="324" customFormat="false" ht="15" hidden="false" customHeight="false" outlineLevel="0" collapsed="false">
      <c r="A324" s="16" t="s">
        <v>370</v>
      </c>
      <c r="B324" s="16" t="s">
        <v>56</v>
      </c>
      <c r="C324" s="16" t="str">
        <f aca="false">CONCATENATE("X",IF(Data!D313&lt;0,"-",""),TEXT(ABS(Data!D313),"0.0000"))</f>
        <v>X0.7643</v>
      </c>
      <c r="D324" s="16" t="str">
        <f aca="false">CONCATENATE("Y",IF(Data!E313&lt;0,"-",""),TEXT(ABS(Data!E313),"0.0000"))</f>
        <v>Y-0.8792</v>
      </c>
      <c r="E324" s="16" t="str">
        <f aca="false">CONCATENATE("Z",IF(Data!F313&lt;0,"-",""),TEXT(ABS(Data!F313),"0.0000"))</f>
        <v>Z-0.0749</v>
      </c>
      <c r="F324" s="16" t="str">
        <f aca="false">CONCATENATE("B",IF(Data!G313&lt;0,"-",""),TEXT(ABS(Data!G313),"0.0000"))</f>
        <v>B-9.7402</v>
      </c>
      <c r="G324" s="16" t="str">
        <f aca="false">CONCATENATE("C",IF(Data!A313&lt;0,"-",""),TEXT(ABS(Data!A313),"0.0000"))</f>
        <v>C311.0000</v>
      </c>
    </row>
    <row r="325" customFormat="false" ht="15" hidden="false" customHeight="false" outlineLevel="0" collapsed="false">
      <c r="A325" s="16" t="s">
        <v>371</v>
      </c>
      <c r="B325" s="16" t="s">
        <v>56</v>
      </c>
      <c r="C325" s="16" t="str">
        <f aca="false">CONCATENATE("X",IF(Data!D314&lt;0,"-",""),TEXT(ABS(Data!D314),"0.0000"))</f>
        <v>X0.7795</v>
      </c>
      <c r="D325" s="16" t="str">
        <f aca="false">CONCATENATE("Y",IF(Data!E314&lt;0,"-",""),TEXT(ABS(Data!E314),"0.0000"))</f>
        <v>Y-0.8658</v>
      </c>
      <c r="E325" s="16" t="str">
        <f aca="false">CONCATENATE("Z",IF(Data!F314&lt;0,"-",""),TEXT(ABS(Data!F314),"0.0000"))</f>
        <v>Z-0.0726</v>
      </c>
      <c r="F325" s="16" t="str">
        <f aca="false">CONCATENATE("B",IF(Data!G314&lt;0,"-",""),TEXT(ABS(Data!G314),"0.0000"))</f>
        <v>B-9.5896</v>
      </c>
      <c r="G325" s="16" t="str">
        <f aca="false">CONCATENATE("C",IF(Data!A314&lt;0,"-",""),TEXT(ABS(Data!A314),"0.0000"))</f>
        <v>C312.0000</v>
      </c>
    </row>
    <row r="326" customFormat="false" ht="15" hidden="false" customHeight="false" outlineLevel="0" collapsed="false">
      <c r="A326" s="16" t="s">
        <v>372</v>
      </c>
      <c r="B326" s="16" t="s">
        <v>56</v>
      </c>
      <c r="C326" s="16" t="str">
        <f aca="false">CONCATENATE("X",IF(Data!D315&lt;0,"-",""),TEXT(ABS(Data!D315),"0.0000"))</f>
        <v>X0.7945</v>
      </c>
      <c r="D326" s="16" t="str">
        <f aca="false">CONCATENATE("Y",IF(Data!E315&lt;0,"-",""),TEXT(ABS(Data!E315),"0.0000"))</f>
        <v>Y-0.8520</v>
      </c>
      <c r="E326" s="16" t="str">
        <f aca="false">CONCATENATE("Z",IF(Data!F315&lt;0,"-",""),TEXT(ABS(Data!F315),"0.0000"))</f>
        <v>Z-0.0703</v>
      </c>
      <c r="F326" s="16" t="str">
        <f aca="false">CONCATENATE("B",IF(Data!G315&lt;0,"-",""),TEXT(ABS(Data!G315),"0.0000"))</f>
        <v>B-9.4360</v>
      </c>
      <c r="G326" s="16" t="str">
        <f aca="false">CONCATENATE("C",IF(Data!A315&lt;0,"-",""),TEXT(ABS(Data!A315),"0.0000"))</f>
        <v>C313.0000</v>
      </c>
    </row>
    <row r="327" customFormat="false" ht="15" hidden="false" customHeight="false" outlineLevel="0" collapsed="false">
      <c r="A327" s="16" t="s">
        <v>373</v>
      </c>
      <c r="B327" s="16" t="s">
        <v>56</v>
      </c>
      <c r="C327" s="16" t="str">
        <f aca="false">CONCATENATE("X",IF(Data!D316&lt;0,"-",""),TEXT(ABS(Data!D316),"0.0000"))</f>
        <v>X0.8093</v>
      </c>
      <c r="D327" s="16" t="str">
        <f aca="false">CONCATENATE("Y",IF(Data!E316&lt;0,"-",""),TEXT(ABS(Data!E316),"0.0000"))</f>
        <v>Y-0.8380</v>
      </c>
      <c r="E327" s="16" t="str">
        <f aca="false">CONCATENATE("Z",IF(Data!F316&lt;0,"-",""),TEXT(ABS(Data!F316),"0.0000"))</f>
        <v>Z-0.0680</v>
      </c>
      <c r="F327" s="16" t="str">
        <f aca="false">CONCATENATE("B",IF(Data!G316&lt;0,"-",""),TEXT(ABS(Data!G316),"0.0000"))</f>
        <v>B-9.2796</v>
      </c>
      <c r="G327" s="16" t="str">
        <f aca="false">CONCATENATE("C",IF(Data!A316&lt;0,"-",""),TEXT(ABS(Data!A316),"0.0000"))</f>
        <v>C314.0000</v>
      </c>
    </row>
    <row r="328" customFormat="false" ht="15" hidden="false" customHeight="false" outlineLevel="0" collapsed="false">
      <c r="A328" s="16" t="s">
        <v>374</v>
      </c>
      <c r="B328" s="16" t="s">
        <v>56</v>
      </c>
      <c r="C328" s="16" t="str">
        <f aca="false">CONCATENATE("X",IF(Data!D317&lt;0,"-",""),TEXT(ABS(Data!D317),"0.0000"))</f>
        <v>X0.8238</v>
      </c>
      <c r="D328" s="16" t="str">
        <f aca="false">CONCATENATE("Y",IF(Data!E317&lt;0,"-",""),TEXT(ABS(Data!E317),"0.0000"))</f>
        <v>Y-0.8238</v>
      </c>
      <c r="E328" s="16" t="str">
        <f aca="false">CONCATENATE("Z",IF(Data!F317&lt;0,"-",""),TEXT(ABS(Data!F317),"0.0000"))</f>
        <v>Z-0.0657</v>
      </c>
      <c r="F328" s="16" t="str">
        <f aca="false">CONCATENATE("B",IF(Data!G317&lt;0,"-",""),TEXT(ABS(Data!G317),"0.0000"))</f>
        <v>B-9.1205</v>
      </c>
      <c r="G328" s="16" t="str">
        <f aca="false">CONCATENATE("C",IF(Data!A317&lt;0,"-",""),TEXT(ABS(Data!A317),"0.0000"))</f>
        <v>C315.0000</v>
      </c>
    </row>
    <row r="329" customFormat="false" ht="15" hidden="false" customHeight="false" outlineLevel="0" collapsed="false">
      <c r="A329" s="16" t="s">
        <v>375</v>
      </c>
      <c r="B329" s="16" t="s">
        <v>56</v>
      </c>
      <c r="C329" s="16" t="str">
        <f aca="false">CONCATENATE("X",IF(Data!D318&lt;0,"-",""),TEXT(ABS(Data!D318),"0.0000"))</f>
        <v>X0.8380</v>
      </c>
      <c r="D329" s="16" t="str">
        <f aca="false">CONCATENATE("Y",IF(Data!E318&lt;0,"-",""),TEXT(ABS(Data!E318),"0.0000"))</f>
        <v>Y-0.8093</v>
      </c>
      <c r="E329" s="16" t="str">
        <f aca="false">CONCATENATE("Z",IF(Data!F318&lt;0,"-",""),TEXT(ABS(Data!F318),"0.0000"))</f>
        <v>Z-0.0634</v>
      </c>
      <c r="F329" s="16" t="str">
        <f aca="false">CONCATENATE("B",IF(Data!G318&lt;0,"-",""),TEXT(ABS(Data!G318),"0.0000"))</f>
        <v>B-8.9586</v>
      </c>
      <c r="G329" s="16" t="str">
        <f aca="false">CONCATENATE("C",IF(Data!A318&lt;0,"-",""),TEXT(ABS(Data!A318),"0.0000"))</f>
        <v>C316.0000</v>
      </c>
    </row>
    <row r="330" customFormat="false" ht="15" hidden="false" customHeight="false" outlineLevel="0" collapsed="false">
      <c r="A330" s="16" t="s">
        <v>376</v>
      </c>
      <c r="B330" s="16" t="s">
        <v>56</v>
      </c>
      <c r="C330" s="16" t="str">
        <f aca="false">CONCATENATE("X",IF(Data!D319&lt;0,"-",""),TEXT(ABS(Data!D319),"0.0000"))</f>
        <v>X0.8520</v>
      </c>
      <c r="D330" s="16" t="str">
        <f aca="false">CONCATENATE("Y",IF(Data!E319&lt;0,"-",""),TEXT(ABS(Data!E319),"0.0000"))</f>
        <v>Y-0.7945</v>
      </c>
      <c r="E330" s="16" t="str">
        <f aca="false">CONCATENATE("Z",IF(Data!F319&lt;0,"-",""),TEXT(ABS(Data!F319),"0.0000"))</f>
        <v>Z-0.0611</v>
      </c>
      <c r="F330" s="16" t="str">
        <f aca="false">CONCATENATE("B",IF(Data!G319&lt;0,"-",""),TEXT(ABS(Data!G319),"0.0000"))</f>
        <v>B-8.7940</v>
      </c>
      <c r="G330" s="16" t="str">
        <f aca="false">CONCATENATE("C",IF(Data!A319&lt;0,"-",""),TEXT(ABS(Data!A319),"0.0000"))</f>
        <v>C317.0000</v>
      </c>
    </row>
    <row r="331" customFormat="false" ht="15" hidden="false" customHeight="false" outlineLevel="0" collapsed="false">
      <c r="A331" s="16" t="s">
        <v>377</v>
      </c>
      <c r="B331" s="16" t="s">
        <v>56</v>
      </c>
      <c r="C331" s="16" t="str">
        <f aca="false">CONCATENATE("X",IF(Data!D320&lt;0,"-",""),TEXT(ABS(Data!D320),"0.0000"))</f>
        <v>X0.8658</v>
      </c>
      <c r="D331" s="16" t="str">
        <f aca="false">CONCATENATE("Y",IF(Data!E320&lt;0,"-",""),TEXT(ABS(Data!E320),"0.0000"))</f>
        <v>Y-0.7795</v>
      </c>
      <c r="E331" s="16" t="str">
        <f aca="false">CONCATENATE("Z",IF(Data!F320&lt;0,"-",""),TEXT(ABS(Data!F320),"0.0000"))</f>
        <v>Z-0.0588</v>
      </c>
      <c r="F331" s="16" t="str">
        <f aca="false">CONCATENATE("B",IF(Data!G320&lt;0,"-",""),TEXT(ABS(Data!G320),"0.0000"))</f>
        <v>B-8.6268</v>
      </c>
      <c r="G331" s="16" t="str">
        <f aca="false">CONCATENATE("C",IF(Data!A320&lt;0,"-",""),TEXT(ABS(Data!A320),"0.0000"))</f>
        <v>C318.0000</v>
      </c>
    </row>
    <row r="332" customFormat="false" ht="15" hidden="false" customHeight="false" outlineLevel="0" collapsed="false">
      <c r="A332" s="16" t="s">
        <v>378</v>
      </c>
      <c r="B332" s="16" t="s">
        <v>56</v>
      </c>
      <c r="C332" s="16" t="str">
        <f aca="false">CONCATENATE("X",IF(Data!D321&lt;0,"-",""),TEXT(ABS(Data!D321),"0.0000"))</f>
        <v>X0.8792</v>
      </c>
      <c r="D332" s="16" t="str">
        <f aca="false">CONCATENATE("Y",IF(Data!E321&lt;0,"-",""),TEXT(ABS(Data!E321),"0.0000"))</f>
        <v>Y-0.7643</v>
      </c>
      <c r="E332" s="16" t="str">
        <f aca="false">CONCATENATE("Z",IF(Data!F321&lt;0,"-",""),TEXT(ABS(Data!F321),"0.0000"))</f>
        <v>Z-0.0565</v>
      </c>
      <c r="F332" s="16" t="str">
        <f aca="false">CONCATENATE("B",IF(Data!G321&lt;0,"-",""),TEXT(ABS(Data!G321),"0.0000"))</f>
        <v>B-8.4570</v>
      </c>
      <c r="G332" s="16" t="str">
        <f aca="false">CONCATENATE("C",IF(Data!A321&lt;0,"-",""),TEXT(ABS(Data!A321),"0.0000"))</f>
        <v>C319.0000</v>
      </c>
    </row>
    <row r="333" customFormat="false" ht="15" hidden="false" customHeight="false" outlineLevel="0" collapsed="false">
      <c r="A333" s="16" t="s">
        <v>379</v>
      </c>
      <c r="B333" s="16" t="s">
        <v>56</v>
      </c>
      <c r="C333" s="16" t="str">
        <f aca="false">CONCATENATE("X",IF(Data!D322&lt;0,"-",""),TEXT(ABS(Data!D322),"0.0000"))</f>
        <v>X0.8924</v>
      </c>
      <c r="D333" s="16" t="str">
        <f aca="false">CONCATENATE("Y",IF(Data!E322&lt;0,"-",""),TEXT(ABS(Data!E322),"0.0000"))</f>
        <v>Y-0.7488</v>
      </c>
      <c r="E333" s="16" t="str">
        <f aca="false">CONCATENATE("Z",IF(Data!F322&lt;0,"-",""),TEXT(ABS(Data!F322),"0.0000"))</f>
        <v>Z-0.0542</v>
      </c>
      <c r="F333" s="16" t="str">
        <f aca="false">CONCATENATE("B",IF(Data!G322&lt;0,"-",""),TEXT(ABS(Data!G322),"0.0000"))</f>
        <v>B-8.2847</v>
      </c>
      <c r="G333" s="16" t="str">
        <f aca="false">CONCATENATE("C",IF(Data!A322&lt;0,"-",""),TEXT(ABS(Data!A322),"0.0000"))</f>
        <v>C320.0000</v>
      </c>
    </row>
    <row r="334" customFormat="false" ht="15" hidden="false" customHeight="false" outlineLevel="0" collapsed="false">
      <c r="A334" s="16" t="s">
        <v>380</v>
      </c>
      <c r="B334" s="16" t="s">
        <v>56</v>
      </c>
      <c r="C334" s="16" t="str">
        <f aca="false">CONCATENATE("X",IF(Data!D323&lt;0,"-",""),TEXT(ABS(Data!D323),"0.0000"))</f>
        <v>X0.9054</v>
      </c>
      <c r="D334" s="16" t="str">
        <f aca="false">CONCATENATE("Y",IF(Data!E323&lt;0,"-",""),TEXT(ABS(Data!E323),"0.0000"))</f>
        <v>Y-0.7332</v>
      </c>
      <c r="E334" s="16" t="str">
        <f aca="false">CONCATENATE("Z",IF(Data!F323&lt;0,"-",""),TEXT(ABS(Data!F323),"0.0000"))</f>
        <v>Z-0.0520</v>
      </c>
      <c r="F334" s="16" t="str">
        <f aca="false">CONCATENATE("B",IF(Data!G323&lt;0,"-",""),TEXT(ABS(Data!G323),"0.0000"))</f>
        <v>B-8.1100</v>
      </c>
      <c r="G334" s="16" t="str">
        <f aca="false">CONCATENATE("C",IF(Data!A323&lt;0,"-",""),TEXT(ABS(Data!A323),"0.0000"))</f>
        <v>C321.0000</v>
      </c>
    </row>
    <row r="335" customFormat="false" ht="15" hidden="false" customHeight="false" outlineLevel="0" collapsed="false">
      <c r="A335" s="16" t="s">
        <v>381</v>
      </c>
      <c r="B335" s="16" t="s">
        <v>56</v>
      </c>
      <c r="C335" s="16" t="str">
        <f aca="false">CONCATENATE("X",IF(Data!D324&lt;0,"-",""),TEXT(ABS(Data!D324),"0.0000"))</f>
        <v>X0.9180</v>
      </c>
      <c r="D335" s="16" t="str">
        <f aca="false">CONCATENATE("Y",IF(Data!E324&lt;0,"-",""),TEXT(ABS(Data!E324),"0.0000"))</f>
        <v>Y-0.7172</v>
      </c>
      <c r="E335" s="16" t="str">
        <f aca="false">CONCATENATE("Z",IF(Data!F324&lt;0,"-",""),TEXT(ABS(Data!F324),"0.0000"))</f>
        <v>Z-0.0497</v>
      </c>
      <c r="F335" s="16" t="str">
        <f aca="false">CONCATENATE("B",IF(Data!G324&lt;0,"-",""),TEXT(ABS(Data!G324),"0.0000"))</f>
        <v>B-7.9328</v>
      </c>
      <c r="G335" s="16" t="str">
        <f aca="false">CONCATENATE("C",IF(Data!A324&lt;0,"-",""),TEXT(ABS(Data!A324),"0.0000"))</f>
        <v>C322.0000</v>
      </c>
    </row>
    <row r="336" customFormat="false" ht="15" hidden="false" customHeight="false" outlineLevel="0" collapsed="false">
      <c r="A336" s="16" t="s">
        <v>382</v>
      </c>
      <c r="B336" s="16" t="s">
        <v>56</v>
      </c>
      <c r="C336" s="16" t="str">
        <f aca="false">CONCATENATE("X",IF(Data!D325&lt;0,"-",""),TEXT(ABS(Data!D325),"0.0000"))</f>
        <v>X0.9304</v>
      </c>
      <c r="D336" s="16" t="str">
        <f aca="false">CONCATENATE("Y",IF(Data!E325&lt;0,"-",""),TEXT(ABS(Data!E325),"0.0000"))</f>
        <v>Y-0.7011</v>
      </c>
      <c r="E336" s="16" t="str">
        <f aca="false">CONCATENATE("Z",IF(Data!F325&lt;0,"-",""),TEXT(ABS(Data!F325),"0.0000"))</f>
        <v>Z-0.0475</v>
      </c>
      <c r="F336" s="16" t="str">
        <f aca="false">CONCATENATE("B",IF(Data!G325&lt;0,"-",""),TEXT(ABS(Data!G325),"0.0000"))</f>
        <v>B-7.7533</v>
      </c>
      <c r="G336" s="16" t="str">
        <f aca="false">CONCATENATE("C",IF(Data!A325&lt;0,"-",""),TEXT(ABS(Data!A325),"0.0000"))</f>
        <v>C323.0000</v>
      </c>
    </row>
    <row r="337" customFormat="false" ht="15" hidden="false" customHeight="false" outlineLevel="0" collapsed="false">
      <c r="A337" s="16" t="s">
        <v>383</v>
      </c>
      <c r="B337" s="16" t="s">
        <v>56</v>
      </c>
      <c r="C337" s="16" t="str">
        <f aca="false">CONCATENATE("X",IF(Data!D326&lt;0,"-",""),TEXT(ABS(Data!D326),"0.0000"))</f>
        <v>X0.9425</v>
      </c>
      <c r="D337" s="16" t="str">
        <f aca="false">CONCATENATE("Y",IF(Data!E326&lt;0,"-",""),TEXT(ABS(Data!E326),"0.0000"))</f>
        <v>Y-0.6848</v>
      </c>
      <c r="E337" s="16" t="str">
        <f aca="false">CONCATENATE("Z",IF(Data!F326&lt;0,"-",""),TEXT(ABS(Data!F326),"0.0000"))</f>
        <v>Z-0.0453</v>
      </c>
      <c r="F337" s="16" t="str">
        <f aca="false">CONCATENATE("B",IF(Data!G326&lt;0,"-",""),TEXT(ABS(Data!G326),"0.0000"))</f>
        <v>B-7.5715</v>
      </c>
      <c r="G337" s="16" t="str">
        <f aca="false">CONCATENATE("C",IF(Data!A326&lt;0,"-",""),TEXT(ABS(Data!A326),"0.0000"))</f>
        <v>C324.0000</v>
      </c>
    </row>
    <row r="338" customFormat="false" ht="15" hidden="false" customHeight="false" outlineLevel="0" collapsed="false">
      <c r="A338" s="16" t="s">
        <v>384</v>
      </c>
      <c r="B338" s="16" t="s">
        <v>56</v>
      </c>
      <c r="C338" s="16" t="str">
        <f aca="false">CONCATENATE("X",IF(Data!D327&lt;0,"-",""),TEXT(ABS(Data!D327),"0.0000"))</f>
        <v>X0.9543</v>
      </c>
      <c r="D338" s="16" t="str">
        <f aca="false">CONCATENATE("Y",IF(Data!E327&lt;0,"-",""),TEXT(ABS(Data!E327),"0.0000"))</f>
        <v>Y-0.6682</v>
      </c>
      <c r="E338" s="16" t="str">
        <f aca="false">CONCATENATE("Z",IF(Data!F327&lt;0,"-",""),TEXT(ABS(Data!F327),"0.0000"))</f>
        <v>Z-0.0431</v>
      </c>
      <c r="F338" s="16" t="str">
        <f aca="false">CONCATENATE("B",IF(Data!G327&lt;0,"-",""),TEXT(ABS(Data!G327),"0.0000"))</f>
        <v>B-7.3874</v>
      </c>
      <c r="G338" s="16" t="str">
        <f aca="false">CONCATENATE("C",IF(Data!A327&lt;0,"-",""),TEXT(ABS(Data!A327),"0.0000"))</f>
        <v>C325.0000</v>
      </c>
    </row>
    <row r="339" customFormat="false" ht="15" hidden="false" customHeight="false" outlineLevel="0" collapsed="false">
      <c r="A339" s="16" t="s">
        <v>385</v>
      </c>
      <c r="B339" s="16" t="s">
        <v>56</v>
      </c>
      <c r="C339" s="16" t="str">
        <f aca="false">CONCATENATE("X",IF(Data!D328&lt;0,"-",""),TEXT(ABS(Data!D328),"0.0000"))</f>
        <v>X0.9658</v>
      </c>
      <c r="D339" s="16" t="str">
        <f aca="false">CONCATENATE("Y",IF(Data!E328&lt;0,"-",""),TEXT(ABS(Data!E328),"0.0000"))</f>
        <v>Y-0.6515</v>
      </c>
      <c r="E339" s="16" t="str">
        <f aca="false">CONCATENATE("Z",IF(Data!F328&lt;0,"-",""),TEXT(ABS(Data!F328),"0.0000"))</f>
        <v>Z-0.0410</v>
      </c>
      <c r="F339" s="16" t="str">
        <f aca="false">CONCATENATE("B",IF(Data!G328&lt;0,"-",""),TEXT(ABS(Data!G328),"0.0000"))</f>
        <v>B-7.2011</v>
      </c>
      <c r="G339" s="16" t="str">
        <f aca="false">CONCATENATE("C",IF(Data!A328&lt;0,"-",""),TEXT(ABS(Data!A328),"0.0000"))</f>
        <v>C326.0000</v>
      </c>
    </row>
    <row r="340" customFormat="false" ht="15" hidden="false" customHeight="false" outlineLevel="0" collapsed="false">
      <c r="A340" s="16" t="s">
        <v>386</v>
      </c>
      <c r="B340" s="16" t="s">
        <v>56</v>
      </c>
      <c r="C340" s="16" t="str">
        <f aca="false">CONCATENATE("X",IF(Data!D329&lt;0,"-",""),TEXT(ABS(Data!D329),"0.0000"))</f>
        <v>X0.9771</v>
      </c>
      <c r="D340" s="16" t="str">
        <f aca="false">CONCATENATE("Y",IF(Data!E329&lt;0,"-",""),TEXT(ABS(Data!E329),"0.0000"))</f>
        <v>Y-0.6345</v>
      </c>
      <c r="E340" s="16" t="str">
        <f aca="false">CONCATENATE("Z",IF(Data!F329&lt;0,"-",""),TEXT(ABS(Data!F329),"0.0000"))</f>
        <v>Z-0.0389</v>
      </c>
      <c r="F340" s="16" t="str">
        <f aca="false">CONCATENATE("B",IF(Data!G329&lt;0,"-",""),TEXT(ABS(Data!G329),"0.0000"))</f>
        <v>B-7.0128</v>
      </c>
      <c r="G340" s="16" t="str">
        <f aca="false">CONCATENATE("C",IF(Data!A329&lt;0,"-",""),TEXT(ABS(Data!A329),"0.0000"))</f>
        <v>C327.0000</v>
      </c>
    </row>
    <row r="341" customFormat="false" ht="15" hidden="false" customHeight="false" outlineLevel="0" collapsed="false">
      <c r="A341" s="16" t="s">
        <v>387</v>
      </c>
      <c r="B341" s="16" t="s">
        <v>56</v>
      </c>
      <c r="C341" s="16" t="str">
        <f aca="false">CONCATENATE("X",IF(Data!D330&lt;0,"-",""),TEXT(ABS(Data!D330),"0.0000"))</f>
        <v>X0.9880</v>
      </c>
      <c r="D341" s="16" t="str">
        <f aca="false">CONCATENATE("Y",IF(Data!E330&lt;0,"-",""),TEXT(ABS(Data!E330),"0.0000"))</f>
        <v>Y-0.6174</v>
      </c>
      <c r="E341" s="16" t="str">
        <f aca="false">CONCATENATE("Z",IF(Data!F330&lt;0,"-",""),TEXT(ABS(Data!F330),"0.0000"))</f>
        <v>Z-0.0368</v>
      </c>
      <c r="F341" s="16" t="str">
        <f aca="false">CONCATENATE("B",IF(Data!G330&lt;0,"-",""),TEXT(ABS(Data!G330),"0.0000"))</f>
        <v>B-6.8223</v>
      </c>
      <c r="G341" s="16" t="str">
        <f aca="false">CONCATENATE("C",IF(Data!A330&lt;0,"-",""),TEXT(ABS(Data!A330),"0.0000"))</f>
        <v>C328.0000</v>
      </c>
    </row>
    <row r="342" customFormat="false" ht="15" hidden="false" customHeight="false" outlineLevel="0" collapsed="false">
      <c r="A342" s="16" t="s">
        <v>388</v>
      </c>
      <c r="B342" s="16" t="s">
        <v>56</v>
      </c>
      <c r="C342" s="16" t="str">
        <f aca="false">CONCATENATE("X",IF(Data!D331&lt;0,"-",""),TEXT(ABS(Data!D331),"0.0000"))</f>
        <v>X0.9986</v>
      </c>
      <c r="D342" s="16" t="str">
        <f aca="false">CONCATENATE("Y",IF(Data!E331&lt;0,"-",""),TEXT(ABS(Data!E331),"0.0000"))</f>
        <v>Y-0.6000</v>
      </c>
      <c r="E342" s="16" t="str">
        <f aca="false">CONCATENATE("Z",IF(Data!F331&lt;0,"-",""),TEXT(ABS(Data!F331),"0.0000"))</f>
        <v>Z-0.0348</v>
      </c>
      <c r="F342" s="16" t="str">
        <f aca="false">CONCATENATE("B",IF(Data!G331&lt;0,"-",""),TEXT(ABS(Data!G331),"0.0000"))</f>
        <v>B-6.6299</v>
      </c>
      <c r="G342" s="16" t="str">
        <f aca="false">CONCATENATE("C",IF(Data!A331&lt;0,"-",""),TEXT(ABS(Data!A331),"0.0000"))</f>
        <v>C329.0000</v>
      </c>
    </row>
    <row r="343" customFormat="false" ht="15" hidden="false" customHeight="false" outlineLevel="0" collapsed="false">
      <c r="A343" s="16" t="s">
        <v>389</v>
      </c>
      <c r="B343" s="16" t="s">
        <v>56</v>
      </c>
      <c r="C343" s="16" t="str">
        <f aca="false">CONCATENATE("X",IF(Data!D332&lt;0,"-",""),TEXT(ABS(Data!D332),"0.0000"))</f>
        <v>X1.0089</v>
      </c>
      <c r="D343" s="16" t="str">
        <f aca="false">CONCATENATE("Y",IF(Data!E332&lt;0,"-",""),TEXT(ABS(Data!E332),"0.0000"))</f>
        <v>Y-0.5825</v>
      </c>
      <c r="E343" s="16" t="str">
        <f aca="false">CONCATENATE("Z",IF(Data!F332&lt;0,"-",""),TEXT(ABS(Data!F332),"0.0000"))</f>
        <v>Z-0.0327</v>
      </c>
      <c r="F343" s="16" t="str">
        <f aca="false">CONCATENATE("B",IF(Data!G332&lt;0,"-",""),TEXT(ABS(Data!G332),"0.0000"))</f>
        <v>B-6.4355</v>
      </c>
      <c r="G343" s="16" t="str">
        <f aca="false">CONCATENATE("C",IF(Data!A332&lt;0,"-",""),TEXT(ABS(Data!A332),"0.0000"))</f>
        <v>C330.0000</v>
      </c>
    </row>
    <row r="344" customFormat="false" ht="15" hidden="false" customHeight="false" outlineLevel="0" collapsed="false">
      <c r="A344" s="16" t="s">
        <v>390</v>
      </c>
      <c r="B344" s="16" t="s">
        <v>56</v>
      </c>
      <c r="C344" s="16" t="str">
        <f aca="false">CONCATENATE("X",IF(Data!D333&lt;0,"-",""),TEXT(ABS(Data!D333),"0.0000"))</f>
        <v>X1.0189</v>
      </c>
      <c r="D344" s="16" t="str">
        <f aca="false">CONCATENATE("Y",IF(Data!E333&lt;0,"-",""),TEXT(ABS(Data!E333),"0.0000"))</f>
        <v>Y-0.5648</v>
      </c>
      <c r="E344" s="16" t="str">
        <f aca="false">CONCATENATE("Z",IF(Data!F333&lt;0,"-",""),TEXT(ABS(Data!F333),"0.0000"))</f>
        <v>Z-0.0308</v>
      </c>
      <c r="F344" s="16" t="str">
        <f aca="false">CONCATENATE("B",IF(Data!G333&lt;0,"-",""),TEXT(ABS(Data!G333),"0.0000"))</f>
        <v>B-6.2392</v>
      </c>
      <c r="G344" s="16" t="str">
        <f aca="false">CONCATENATE("C",IF(Data!A333&lt;0,"-",""),TEXT(ABS(Data!A333),"0.0000"))</f>
        <v>C331.0000</v>
      </c>
    </row>
    <row r="345" customFormat="false" ht="15" hidden="false" customHeight="false" outlineLevel="0" collapsed="false">
      <c r="A345" s="16" t="s">
        <v>391</v>
      </c>
      <c r="B345" s="16" t="s">
        <v>56</v>
      </c>
      <c r="C345" s="16" t="str">
        <f aca="false">CONCATENATE("X",IF(Data!D334&lt;0,"-",""),TEXT(ABS(Data!D334),"0.0000"))</f>
        <v>X1.0286</v>
      </c>
      <c r="D345" s="16" t="str">
        <f aca="false">CONCATENATE("Y",IF(Data!E334&lt;0,"-",""),TEXT(ABS(Data!E334),"0.0000"))</f>
        <v>Y-0.5469</v>
      </c>
      <c r="E345" s="16" t="str">
        <f aca="false">CONCATENATE("Z",IF(Data!F334&lt;0,"-",""),TEXT(ABS(Data!F334),"0.0000"))</f>
        <v>Z-0.0289</v>
      </c>
      <c r="F345" s="16" t="str">
        <f aca="false">CONCATENATE("B",IF(Data!G334&lt;0,"-",""),TEXT(ABS(Data!G334),"0.0000"))</f>
        <v>B-6.0410</v>
      </c>
      <c r="G345" s="16" t="str">
        <f aca="false">CONCATENATE("C",IF(Data!A334&lt;0,"-",""),TEXT(ABS(Data!A334),"0.0000"))</f>
        <v>C332.0000</v>
      </c>
    </row>
    <row r="346" customFormat="false" ht="15" hidden="false" customHeight="false" outlineLevel="0" collapsed="false">
      <c r="A346" s="16" t="s">
        <v>392</v>
      </c>
      <c r="B346" s="16" t="s">
        <v>56</v>
      </c>
      <c r="C346" s="16" t="str">
        <f aca="false">CONCATENATE("X",IF(Data!D335&lt;0,"-",""),TEXT(ABS(Data!D335),"0.0000"))</f>
        <v>X1.0380</v>
      </c>
      <c r="D346" s="16" t="str">
        <f aca="false">CONCATENATE("Y",IF(Data!E335&lt;0,"-",""),TEXT(ABS(Data!E335),"0.0000"))</f>
        <v>Y-0.5289</v>
      </c>
      <c r="E346" s="16" t="str">
        <f aca="false">CONCATENATE("Z",IF(Data!F335&lt;0,"-",""),TEXT(ABS(Data!F335),"0.0000"))</f>
        <v>Z-0.0270</v>
      </c>
      <c r="F346" s="16" t="str">
        <f aca="false">CONCATENATE("B",IF(Data!G335&lt;0,"-",""),TEXT(ABS(Data!G335),"0.0000"))</f>
        <v>B-5.8411</v>
      </c>
      <c r="G346" s="16" t="str">
        <f aca="false">CONCATENATE("C",IF(Data!A335&lt;0,"-",""),TEXT(ABS(Data!A335),"0.0000"))</f>
        <v>C333.0000</v>
      </c>
    </row>
    <row r="347" customFormat="false" ht="15" hidden="false" customHeight="false" outlineLevel="0" collapsed="false">
      <c r="A347" s="16" t="s">
        <v>393</v>
      </c>
      <c r="B347" s="16" t="s">
        <v>56</v>
      </c>
      <c r="C347" s="16" t="str">
        <f aca="false">CONCATENATE("X",IF(Data!D336&lt;0,"-",""),TEXT(ABS(Data!D336),"0.0000"))</f>
        <v>X1.0471</v>
      </c>
      <c r="D347" s="16" t="str">
        <f aca="false">CONCATENATE("Y",IF(Data!E336&lt;0,"-",""),TEXT(ABS(Data!E336),"0.0000"))</f>
        <v>Y-0.5107</v>
      </c>
      <c r="E347" s="16" t="str">
        <f aca="false">CONCATENATE("Z",IF(Data!F336&lt;0,"-",""),TEXT(ABS(Data!F336),"0.0000"))</f>
        <v>Z-0.0252</v>
      </c>
      <c r="F347" s="16" t="str">
        <f aca="false">CONCATENATE("B",IF(Data!G336&lt;0,"-",""),TEXT(ABS(Data!G336),"0.0000"))</f>
        <v>B-5.6395</v>
      </c>
      <c r="G347" s="16" t="str">
        <f aca="false">CONCATENATE("C",IF(Data!A336&lt;0,"-",""),TEXT(ABS(Data!A336),"0.0000"))</f>
        <v>C334.0000</v>
      </c>
    </row>
    <row r="348" customFormat="false" ht="15" hidden="false" customHeight="false" outlineLevel="0" collapsed="false">
      <c r="A348" s="16" t="s">
        <v>394</v>
      </c>
      <c r="B348" s="16" t="s">
        <v>56</v>
      </c>
      <c r="C348" s="16" t="str">
        <f aca="false">CONCATENATE("X",IF(Data!D337&lt;0,"-",""),TEXT(ABS(Data!D337),"0.0000"))</f>
        <v>X1.0558</v>
      </c>
      <c r="D348" s="16" t="str">
        <f aca="false">CONCATENATE("Y",IF(Data!E337&lt;0,"-",""),TEXT(ABS(Data!E337),"0.0000"))</f>
        <v>Y-0.4924</v>
      </c>
      <c r="E348" s="16" t="str">
        <f aca="false">CONCATENATE("Z",IF(Data!F337&lt;0,"-",""),TEXT(ABS(Data!F337),"0.0000"))</f>
        <v>Z-0.0234</v>
      </c>
      <c r="F348" s="16" t="str">
        <f aca="false">CONCATENATE("B",IF(Data!G337&lt;0,"-",""),TEXT(ABS(Data!G337),"0.0000"))</f>
        <v>B-5.4362</v>
      </c>
      <c r="G348" s="16" t="str">
        <f aca="false">CONCATENATE("C",IF(Data!A337&lt;0,"-",""),TEXT(ABS(Data!A337),"0.0000"))</f>
        <v>C335.0000</v>
      </c>
    </row>
    <row r="349" customFormat="false" ht="15" hidden="false" customHeight="false" outlineLevel="0" collapsed="false">
      <c r="A349" s="16" t="s">
        <v>395</v>
      </c>
      <c r="B349" s="16" t="s">
        <v>56</v>
      </c>
      <c r="C349" s="16" t="str">
        <f aca="false">CONCATENATE("X",IF(Data!D338&lt;0,"-",""),TEXT(ABS(Data!D338),"0.0000"))</f>
        <v>X1.0643</v>
      </c>
      <c r="D349" s="16" t="str">
        <f aca="false">CONCATENATE("Y",IF(Data!E338&lt;0,"-",""),TEXT(ABS(Data!E338),"0.0000"))</f>
        <v>Y-0.4738</v>
      </c>
      <c r="E349" s="16" t="str">
        <f aca="false">CONCATENATE("Z",IF(Data!F338&lt;0,"-",""),TEXT(ABS(Data!F338),"0.0000"))</f>
        <v>Z-0.0216</v>
      </c>
      <c r="F349" s="16" t="str">
        <f aca="false">CONCATENATE("B",IF(Data!G338&lt;0,"-",""),TEXT(ABS(Data!G338),"0.0000"))</f>
        <v>B-5.2313</v>
      </c>
      <c r="G349" s="16" t="str">
        <f aca="false">CONCATENATE("C",IF(Data!A338&lt;0,"-",""),TEXT(ABS(Data!A338),"0.0000"))</f>
        <v>C336.0000</v>
      </c>
    </row>
    <row r="350" customFormat="false" ht="15" hidden="false" customHeight="false" outlineLevel="0" collapsed="false">
      <c r="A350" s="16" t="s">
        <v>396</v>
      </c>
      <c r="B350" s="16" t="s">
        <v>56</v>
      </c>
      <c r="C350" s="16" t="str">
        <f aca="false">CONCATENATE("X",IF(Data!D339&lt;0,"-",""),TEXT(ABS(Data!D339),"0.0000"))</f>
        <v>X1.0724</v>
      </c>
      <c r="D350" s="16" t="str">
        <f aca="false">CONCATENATE("Y",IF(Data!E339&lt;0,"-",""),TEXT(ABS(Data!E339),"0.0000"))</f>
        <v>Y-0.4552</v>
      </c>
      <c r="E350" s="16" t="str">
        <f aca="false">CONCATENATE("Z",IF(Data!F339&lt;0,"-",""),TEXT(ABS(Data!F339),"0.0000"))</f>
        <v>Z-0.0200</v>
      </c>
      <c r="F350" s="16" t="str">
        <f aca="false">CONCATENATE("B",IF(Data!G339&lt;0,"-",""),TEXT(ABS(Data!G339),"0.0000"))</f>
        <v>B-5.0249</v>
      </c>
      <c r="G350" s="16" t="str">
        <f aca="false">CONCATENATE("C",IF(Data!A339&lt;0,"-",""),TEXT(ABS(Data!A339),"0.0000"))</f>
        <v>C337.0000</v>
      </c>
    </row>
    <row r="351" customFormat="false" ht="15" hidden="false" customHeight="false" outlineLevel="0" collapsed="false">
      <c r="A351" s="16" t="s">
        <v>397</v>
      </c>
      <c r="B351" s="16" t="s">
        <v>56</v>
      </c>
      <c r="C351" s="16" t="str">
        <f aca="false">CONCATENATE("X",IF(Data!D340&lt;0,"-",""),TEXT(ABS(Data!D340),"0.0000"))</f>
        <v>X1.0802</v>
      </c>
      <c r="D351" s="16" t="str">
        <f aca="false">CONCATENATE("Y",IF(Data!E340&lt;0,"-",""),TEXT(ABS(Data!E340),"0.0000"))</f>
        <v>Y-0.4364</v>
      </c>
      <c r="E351" s="16" t="str">
        <f aca="false">CONCATENATE("Z",IF(Data!F340&lt;0,"-",""),TEXT(ABS(Data!F340),"0.0000"))</f>
        <v>Z-0.0184</v>
      </c>
      <c r="F351" s="16" t="str">
        <f aca="false">CONCATENATE("B",IF(Data!G340&lt;0,"-",""),TEXT(ABS(Data!G340),"0.0000"))</f>
        <v>B-4.8171</v>
      </c>
      <c r="G351" s="16" t="str">
        <f aca="false">CONCATENATE("C",IF(Data!A340&lt;0,"-",""),TEXT(ABS(Data!A340),"0.0000"))</f>
        <v>C338.0000</v>
      </c>
    </row>
    <row r="352" customFormat="false" ht="15" hidden="false" customHeight="false" outlineLevel="0" collapsed="false">
      <c r="A352" s="16" t="s">
        <v>398</v>
      </c>
      <c r="B352" s="16" t="s">
        <v>56</v>
      </c>
      <c r="C352" s="16" t="str">
        <f aca="false">CONCATENATE("X",IF(Data!D341&lt;0,"-",""),TEXT(ABS(Data!D341),"0.0000"))</f>
        <v>X1.0876</v>
      </c>
      <c r="D352" s="16" t="str">
        <f aca="false">CONCATENATE("Y",IF(Data!E341&lt;0,"-",""),TEXT(ABS(Data!E341),"0.0000"))</f>
        <v>Y-0.4175</v>
      </c>
      <c r="E352" s="16" t="str">
        <f aca="false">CONCATENATE("Z",IF(Data!F341&lt;0,"-",""),TEXT(ABS(Data!F341),"0.0000"))</f>
        <v>Z-0.0168</v>
      </c>
      <c r="F352" s="16" t="str">
        <f aca="false">CONCATENATE("B",IF(Data!G341&lt;0,"-",""),TEXT(ABS(Data!G341),"0.0000"))</f>
        <v>B-4.6078</v>
      </c>
      <c r="G352" s="16" t="str">
        <f aca="false">CONCATENATE("C",IF(Data!A341&lt;0,"-",""),TEXT(ABS(Data!A341),"0.0000"))</f>
        <v>C339.0000</v>
      </c>
    </row>
    <row r="353" customFormat="false" ht="15" hidden="false" customHeight="false" outlineLevel="0" collapsed="false">
      <c r="A353" s="16" t="s">
        <v>399</v>
      </c>
      <c r="B353" s="16" t="s">
        <v>56</v>
      </c>
      <c r="C353" s="16" t="str">
        <f aca="false">CONCATENATE("X",IF(Data!D342&lt;0,"-",""),TEXT(ABS(Data!D342),"0.0000"))</f>
        <v>X1.0947</v>
      </c>
      <c r="D353" s="16" t="str">
        <f aca="false">CONCATENATE("Y",IF(Data!E342&lt;0,"-",""),TEXT(ABS(Data!E342),"0.0000"))</f>
        <v>Y-0.3985</v>
      </c>
      <c r="E353" s="16" t="str">
        <f aca="false">CONCATENATE("Z",IF(Data!F342&lt;0,"-",""),TEXT(ABS(Data!F342),"0.0000"))</f>
        <v>Z-0.0153</v>
      </c>
      <c r="F353" s="16" t="str">
        <f aca="false">CONCATENATE("B",IF(Data!G342&lt;0,"-",""),TEXT(ABS(Data!G342),"0.0000"))</f>
        <v>B-4.3972</v>
      </c>
      <c r="G353" s="16" t="str">
        <f aca="false">CONCATENATE("C",IF(Data!A342&lt;0,"-",""),TEXT(ABS(Data!A342),"0.0000"))</f>
        <v>C340.0000</v>
      </c>
    </row>
    <row r="354" customFormat="false" ht="15" hidden="false" customHeight="false" outlineLevel="0" collapsed="false">
      <c r="A354" s="16" t="s">
        <v>400</v>
      </c>
      <c r="B354" s="16" t="s">
        <v>56</v>
      </c>
      <c r="C354" s="16" t="str">
        <f aca="false">CONCATENATE("X",IF(Data!D343&lt;0,"-",""),TEXT(ABS(Data!D343),"0.0000"))</f>
        <v>X1.1015</v>
      </c>
      <c r="D354" s="16" t="str">
        <f aca="false">CONCATENATE("Y",IF(Data!E343&lt;0,"-",""),TEXT(ABS(Data!E343),"0.0000"))</f>
        <v>Y-0.3793</v>
      </c>
      <c r="E354" s="16" t="str">
        <f aca="false">CONCATENATE("Z",IF(Data!F343&lt;0,"-",""),TEXT(ABS(Data!F343),"0.0000"))</f>
        <v>Z-0.0139</v>
      </c>
      <c r="F354" s="16" t="str">
        <f aca="false">CONCATENATE("B",IF(Data!G343&lt;0,"-",""),TEXT(ABS(Data!G343),"0.0000"))</f>
        <v>B-4.1853</v>
      </c>
      <c r="G354" s="16" t="str">
        <f aca="false">CONCATENATE("C",IF(Data!A343&lt;0,"-",""),TEXT(ABS(Data!A343),"0.0000"))</f>
        <v>C341.0000</v>
      </c>
    </row>
    <row r="355" customFormat="false" ht="15" hidden="false" customHeight="false" outlineLevel="0" collapsed="false">
      <c r="A355" s="16" t="s">
        <v>401</v>
      </c>
      <c r="B355" s="16" t="s">
        <v>56</v>
      </c>
      <c r="C355" s="16" t="str">
        <f aca="false">CONCATENATE("X",IF(Data!D344&lt;0,"-",""),TEXT(ABS(Data!D344),"0.0000"))</f>
        <v>X1.1080</v>
      </c>
      <c r="D355" s="16" t="str">
        <f aca="false">CONCATENATE("Y",IF(Data!E344&lt;0,"-",""),TEXT(ABS(Data!E344),"0.0000"))</f>
        <v>Y-0.3600</v>
      </c>
      <c r="E355" s="16" t="str">
        <f aca="false">CONCATENATE("Z",IF(Data!F344&lt;0,"-",""),TEXT(ABS(Data!F344),"0.0000"))</f>
        <v>Z-0.0125</v>
      </c>
      <c r="F355" s="16" t="str">
        <f aca="false">CONCATENATE("B",IF(Data!G344&lt;0,"-",""),TEXT(ABS(Data!G344),"0.0000"))</f>
        <v>B-3.9722</v>
      </c>
      <c r="G355" s="16" t="str">
        <f aca="false">CONCATENATE("C",IF(Data!A344&lt;0,"-",""),TEXT(ABS(Data!A344),"0.0000"))</f>
        <v>C342.0000</v>
      </c>
    </row>
    <row r="356" customFormat="false" ht="15" hidden="false" customHeight="false" outlineLevel="0" collapsed="false">
      <c r="A356" s="16" t="s">
        <v>402</v>
      </c>
      <c r="B356" s="16" t="s">
        <v>56</v>
      </c>
      <c r="C356" s="16" t="str">
        <f aca="false">CONCATENATE("X",IF(Data!D345&lt;0,"-",""),TEXT(ABS(Data!D345),"0.0000"))</f>
        <v>X1.1141</v>
      </c>
      <c r="D356" s="16" t="str">
        <f aca="false">CONCATENATE("Y",IF(Data!E345&lt;0,"-",""),TEXT(ABS(Data!E345),"0.0000"))</f>
        <v>Y-0.3406</v>
      </c>
      <c r="E356" s="16" t="str">
        <f aca="false">CONCATENATE("Z",IF(Data!F345&lt;0,"-",""),TEXT(ABS(Data!F345),"0.0000"))</f>
        <v>Z-0.0112</v>
      </c>
      <c r="F356" s="16" t="str">
        <f aca="false">CONCATENATE("B",IF(Data!G345&lt;0,"-",""),TEXT(ABS(Data!G345),"0.0000"))</f>
        <v>B-3.7579</v>
      </c>
      <c r="G356" s="16" t="str">
        <f aca="false">CONCATENATE("C",IF(Data!A345&lt;0,"-",""),TEXT(ABS(Data!A345),"0.0000"))</f>
        <v>C343.0000</v>
      </c>
    </row>
    <row r="357" customFormat="false" ht="15" hidden="false" customHeight="false" outlineLevel="0" collapsed="false">
      <c r="A357" s="16" t="s">
        <v>403</v>
      </c>
      <c r="B357" s="16" t="s">
        <v>56</v>
      </c>
      <c r="C357" s="16" t="str">
        <f aca="false">CONCATENATE("X",IF(Data!D346&lt;0,"-",""),TEXT(ABS(Data!D346),"0.0000"))</f>
        <v>X1.1199</v>
      </c>
      <c r="D357" s="16" t="str">
        <f aca="false">CONCATENATE("Y",IF(Data!E346&lt;0,"-",""),TEXT(ABS(Data!E346),"0.0000"))</f>
        <v>Y-0.3211</v>
      </c>
      <c r="E357" s="16" t="str">
        <f aca="false">CONCATENATE("Z",IF(Data!F346&lt;0,"-",""),TEXT(ABS(Data!F346),"0.0000"))</f>
        <v>Z-0.0099</v>
      </c>
      <c r="F357" s="16" t="str">
        <f aca="false">CONCATENATE("B",IF(Data!G346&lt;0,"-",""),TEXT(ABS(Data!G346),"0.0000"))</f>
        <v>B-3.5425</v>
      </c>
      <c r="G357" s="16" t="str">
        <f aca="false">CONCATENATE("C",IF(Data!A346&lt;0,"-",""),TEXT(ABS(Data!A346),"0.0000"))</f>
        <v>C344.0000</v>
      </c>
    </row>
    <row r="358" customFormat="false" ht="15" hidden="false" customHeight="false" outlineLevel="0" collapsed="false">
      <c r="A358" s="16" t="s">
        <v>404</v>
      </c>
      <c r="B358" s="16" t="s">
        <v>56</v>
      </c>
      <c r="C358" s="16" t="str">
        <f aca="false">CONCATENATE("X",IF(Data!D347&lt;0,"-",""),TEXT(ABS(Data!D347),"0.0000"))</f>
        <v>X1.1253</v>
      </c>
      <c r="D358" s="16" t="str">
        <f aca="false">CONCATENATE("Y",IF(Data!E347&lt;0,"-",""),TEXT(ABS(Data!E347),"0.0000"))</f>
        <v>Y-0.3015</v>
      </c>
      <c r="E358" s="16" t="str">
        <f aca="false">CONCATENATE("Z",IF(Data!F347&lt;0,"-",""),TEXT(ABS(Data!F347),"0.0000"))</f>
        <v>Z-0.0088</v>
      </c>
      <c r="F358" s="16" t="str">
        <f aca="false">CONCATENATE("B",IF(Data!G347&lt;0,"-",""),TEXT(ABS(Data!G347),"0.0000"))</f>
        <v>B-3.3261</v>
      </c>
      <c r="G358" s="16" t="str">
        <f aca="false">CONCATENATE("C",IF(Data!A347&lt;0,"-",""),TEXT(ABS(Data!A347),"0.0000"))</f>
        <v>C345.0000</v>
      </c>
    </row>
    <row r="359" customFormat="false" ht="15" hidden="false" customHeight="false" outlineLevel="0" collapsed="false">
      <c r="A359" s="16" t="s">
        <v>405</v>
      </c>
      <c r="B359" s="16" t="s">
        <v>56</v>
      </c>
      <c r="C359" s="16" t="str">
        <f aca="false">CONCATENATE("X",IF(Data!D348&lt;0,"-",""),TEXT(ABS(Data!D348),"0.0000"))</f>
        <v>X1.1304</v>
      </c>
      <c r="D359" s="16" t="str">
        <f aca="false">CONCATENATE("Y",IF(Data!E348&lt;0,"-",""),TEXT(ABS(Data!E348),"0.0000"))</f>
        <v>Y-0.2818</v>
      </c>
      <c r="E359" s="16" t="str">
        <f aca="false">CONCATENATE("Z",IF(Data!F348&lt;0,"-",""),TEXT(ABS(Data!F348),"0.0000"))</f>
        <v>Z-0.0076</v>
      </c>
      <c r="F359" s="16" t="str">
        <f aca="false">CONCATENATE("B",IF(Data!G348&lt;0,"-",""),TEXT(ABS(Data!G348),"0.0000"))</f>
        <v>B-3.1087</v>
      </c>
      <c r="G359" s="16" t="str">
        <f aca="false">CONCATENATE("C",IF(Data!A348&lt;0,"-",""),TEXT(ABS(Data!A348),"0.0000"))</f>
        <v>C346.0000</v>
      </c>
    </row>
    <row r="360" customFormat="false" ht="15" hidden="false" customHeight="false" outlineLevel="0" collapsed="false">
      <c r="A360" s="16" t="s">
        <v>406</v>
      </c>
      <c r="B360" s="16" t="s">
        <v>56</v>
      </c>
      <c r="C360" s="16" t="str">
        <f aca="false">CONCATENATE("X",IF(Data!D349&lt;0,"-",""),TEXT(ABS(Data!D349),"0.0000"))</f>
        <v>X1.1351</v>
      </c>
      <c r="D360" s="16" t="str">
        <f aca="false">CONCATENATE("Y",IF(Data!E349&lt;0,"-",""),TEXT(ABS(Data!E349),"0.0000"))</f>
        <v>Y-0.2621</v>
      </c>
      <c r="E360" s="16" t="str">
        <f aca="false">CONCATENATE("Z",IF(Data!F349&lt;0,"-",""),TEXT(ABS(Data!F349),"0.0000"))</f>
        <v>Z-0.0066</v>
      </c>
      <c r="F360" s="16" t="str">
        <f aca="false">CONCATENATE("B",IF(Data!G349&lt;0,"-",""),TEXT(ABS(Data!G349),"0.0000"))</f>
        <v>B-2.8905</v>
      </c>
      <c r="G360" s="16" t="str">
        <f aca="false">CONCATENATE("C",IF(Data!A349&lt;0,"-",""),TEXT(ABS(Data!A349),"0.0000"))</f>
        <v>C347.0000</v>
      </c>
    </row>
    <row r="361" customFormat="false" ht="15" hidden="false" customHeight="false" outlineLevel="0" collapsed="false">
      <c r="A361" s="16" t="s">
        <v>407</v>
      </c>
      <c r="B361" s="16" t="s">
        <v>56</v>
      </c>
      <c r="C361" s="16" t="str">
        <f aca="false">CONCATENATE("X",IF(Data!D350&lt;0,"-",""),TEXT(ABS(Data!D350),"0.0000"))</f>
        <v>X1.1395</v>
      </c>
      <c r="D361" s="16" t="str">
        <f aca="false">CONCATENATE("Y",IF(Data!E350&lt;0,"-",""),TEXT(ABS(Data!E350),"0.0000"))</f>
        <v>Y-0.2422</v>
      </c>
      <c r="E361" s="16" t="str">
        <f aca="false">CONCATENATE("Z",IF(Data!F350&lt;0,"-",""),TEXT(ABS(Data!F350),"0.0000"))</f>
        <v>Z-0.0056</v>
      </c>
      <c r="F361" s="16" t="str">
        <f aca="false">CONCATENATE("B",IF(Data!G350&lt;0,"-",""),TEXT(ABS(Data!G350),"0.0000"))</f>
        <v>B-2.6714</v>
      </c>
      <c r="G361" s="16" t="str">
        <f aca="false">CONCATENATE("C",IF(Data!A350&lt;0,"-",""),TEXT(ABS(Data!A350),"0.0000"))</f>
        <v>C348.0000</v>
      </c>
    </row>
    <row r="362" customFormat="false" ht="15" hidden="false" customHeight="false" outlineLevel="0" collapsed="false">
      <c r="A362" s="16" t="s">
        <v>408</v>
      </c>
      <c r="B362" s="16" t="s">
        <v>56</v>
      </c>
      <c r="C362" s="16" t="str">
        <f aca="false">CONCATENATE("X",IF(Data!D351&lt;0,"-",""),TEXT(ABS(Data!D351),"0.0000"))</f>
        <v>X1.1436</v>
      </c>
      <c r="D362" s="16" t="str">
        <f aca="false">CONCATENATE("Y",IF(Data!E351&lt;0,"-",""),TEXT(ABS(Data!E351),"0.0000"))</f>
        <v>Y-0.2223</v>
      </c>
      <c r="E362" s="16" t="str">
        <f aca="false">CONCATENATE("Z",IF(Data!F351&lt;0,"-",""),TEXT(ABS(Data!F351),"0.0000"))</f>
        <v>Z-0.0048</v>
      </c>
      <c r="F362" s="16" t="str">
        <f aca="false">CONCATENATE("B",IF(Data!G351&lt;0,"-",""),TEXT(ABS(Data!G351),"0.0000"))</f>
        <v>B-2.4515</v>
      </c>
      <c r="G362" s="16" t="str">
        <f aca="false">CONCATENATE("C",IF(Data!A351&lt;0,"-",""),TEXT(ABS(Data!A351),"0.0000"))</f>
        <v>C349.0000</v>
      </c>
    </row>
    <row r="363" customFormat="false" ht="15" hidden="false" customHeight="false" outlineLevel="0" collapsed="false">
      <c r="A363" s="16" t="s">
        <v>409</v>
      </c>
      <c r="B363" s="16" t="s">
        <v>56</v>
      </c>
      <c r="C363" s="16" t="str">
        <f aca="false">CONCATENATE("X",IF(Data!D352&lt;0,"-",""),TEXT(ABS(Data!D352),"0.0000"))</f>
        <v>X1.1473</v>
      </c>
      <c r="D363" s="16" t="str">
        <f aca="false">CONCATENATE("Y",IF(Data!E352&lt;0,"-",""),TEXT(ABS(Data!E352),"0.0000"))</f>
        <v>Y-0.2023</v>
      </c>
      <c r="E363" s="16" t="str">
        <f aca="false">CONCATENATE("Z",IF(Data!F352&lt;0,"-",""),TEXT(ABS(Data!F352),"0.0000"))</f>
        <v>Z-0.0039</v>
      </c>
      <c r="F363" s="16" t="str">
        <f aca="false">CONCATENATE("B",IF(Data!G352&lt;0,"-",""),TEXT(ABS(Data!G352),"0.0000"))</f>
        <v>B-2.2309</v>
      </c>
      <c r="G363" s="16" t="str">
        <f aca="false">CONCATENATE("C",IF(Data!A352&lt;0,"-",""),TEXT(ABS(Data!A352),"0.0000"))</f>
        <v>C350.0000</v>
      </c>
    </row>
    <row r="364" customFormat="false" ht="15" hidden="false" customHeight="false" outlineLevel="0" collapsed="false">
      <c r="A364" s="16" t="s">
        <v>410</v>
      </c>
      <c r="B364" s="16" t="s">
        <v>56</v>
      </c>
      <c r="C364" s="16" t="str">
        <f aca="false">CONCATENATE("X",IF(Data!D353&lt;0,"-",""),TEXT(ABS(Data!D353),"0.0000"))</f>
        <v>X1.1507</v>
      </c>
      <c r="D364" s="16" t="str">
        <f aca="false">CONCATENATE("Y",IF(Data!E353&lt;0,"-",""),TEXT(ABS(Data!E353),"0.0000"))</f>
        <v>Y-0.1822</v>
      </c>
      <c r="E364" s="16" t="str">
        <f aca="false">CONCATENATE("Z",IF(Data!F353&lt;0,"-",""),TEXT(ABS(Data!F353),"0.0000"))</f>
        <v>Z-0.0032</v>
      </c>
      <c r="F364" s="16" t="str">
        <f aca="false">CONCATENATE("B",IF(Data!G353&lt;0,"-",""),TEXT(ABS(Data!G353),"0.0000"))</f>
        <v>B-2.0096</v>
      </c>
      <c r="G364" s="16" t="str">
        <f aca="false">CONCATENATE("C",IF(Data!A353&lt;0,"-",""),TEXT(ABS(Data!A353),"0.0000"))</f>
        <v>C351.0000</v>
      </c>
    </row>
    <row r="365" customFormat="false" ht="15" hidden="false" customHeight="false" outlineLevel="0" collapsed="false">
      <c r="A365" s="16" t="s">
        <v>411</v>
      </c>
      <c r="B365" s="16" t="s">
        <v>56</v>
      </c>
      <c r="C365" s="16" t="str">
        <f aca="false">CONCATENATE("X",IF(Data!D354&lt;0,"-",""),TEXT(ABS(Data!D354),"0.0000"))</f>
        <v>X1.1537</v>
      </c>
      <c r="D365" s="16" t="str">
        <f aca="false">CONCATENATE("Y",IF(Data!E354&lt;0,"-",""),TEXT(ABS(Data!E354),"0.0000"))</f>
        <v>Y-0.1621</v>
      </c>
      <c r="E365" s="16" t="str">
        <f aca="false">CONCATENATE("Z",IF(Data!F354&lt;0,"-",""),TEXT(ABS(Data!F354),"0.0000"))</f>
        <v>Z-0.0025</v>
      </c>
      <c r="F365" s="16" t="str">
        <f aca="false">CONCATENATE("B",IF(Data!G354&lt;0,"-",""),TEXT(ABS(Data!G354),"0.0000"))</f>
        <v>B-1.7878</v>
      </c>
      <c r="G365" s="16" t="str">
        <f aca="false">CONCATENATE("C",IF(Data!A354&lt;0,"-",""),TEXT(ABS(Data!A354),"0.0000"))</f>
        <v>C352.0000</v>
      </c>
    </row>
    <row r="366" customFormat="false" ht="15" hidden="false" customHeight="false" outlineLevel="0" collapsed="false">
      <c r="A366" s="16" t="s">
        <v>412</v>
      </c>
      <c r="B366" s="16" t="s">
        <v>56</v>
      </c>
      <c r="C366" s="16" t="str">
        <f aca="false">CONCATENATE("X",IF(Data!D355&lt;0,"-",""),TEXT(ABS(Data!D355),"0.0000"))</f>
        <v>X1.1563</v>
      </c>
      <c r="D366" s="16" t="str">
        <f aca="false">CONCATENATE("Y",IF(Data!E355&lt;0,"-",""),TEXT(ABS(Data!E355),"0.0000"))</f>
        <v>Y-0.1420</v>
      </c>
      <c r="E366" s="16" t="str">
        <f aca="false">CONCATENATE("Z",IF(Data!F355&lt;0,"-",""),TEXT(ABS(Data!F355),"0.0000"))</f>
        <v>Z-0.0019</v>
      </c>
      <c r="F366" s="16" t="str">
        <f aca="false">CONCATENATE("B",IF(Data!G355&lt;0,"-",""),TEXT(ABS(Data!G355),"0.0000"))</f>
        <v>B-1.5655</v>
      </c>
      <c r="G366" s="16" t="str">
        <f aca="false">CONCATENATE("C",IF(Data!A355&lt;0,"-",""),TEXT(ABS(Data!A355),"0.0000"))</f>
        <v>C353.0000</v>
      </c>
    </row>
    <row r="367" customFormat="false" ht="15" hidden="false" customHeight="false" outlineLevel="0" collapsed="false">
      <c r="A367" s="16" t="s">
        <v>413</v>
      </c>
      <c r="B367" s="16" t="s">
        <v>56</v>
      </c>
      <c r="C367" s="16" t="str">
        <f aca="false">CONCATENATE("X",IF(Data!D356&lt;0,"-",""),TEXT(ABS(Data!D356),"0.0000"))</f>
        <v>X1.1586</v>
      </c>
      <c r="D367" s="16" t="str">
        <f aca="false">CONCATENATE("Y",IF(Data!E356&lt;0,"-",""),TEXT(ABS(Data!E356),"0.0000"))</f>
        <v>Y-0.1218</v>
      </c>
      <c r="E367" s="16" t="str">
        <f aca="false">CONCATENATE("Z",IF(Data!F356&lt;0,"-",""),TEXT(ABS(Data!F356),"0.0000"))</f>
        <v>Z-0.0014</v>
      </c>
      <c r="F367" s="16" t="str">
        <f aca="false">CONCATENATE("B",IF(Data!G356&lt;0,"-",""),TEXT(ABS(Data!G356),"0.0000"))</f>
        <v>B-1.3427</v>
      </c>
      <c r="G367" s="16" t="str">
        <f aca="false">CONCATENATE("C",IF(Data!A356&lt;0,"-",""),TEXT(ABS(Data!A356),"0.0000"))</f>
        <v>C354.0000</v>
      </c>
    </row>
    <row r="368" customFormat="false" ht="15" hidden="false" customHeight="false" outlineLevel="0" collapsed="false">
      <c r="A368" s="16" t="s">
        <v>414</v>
      </c>
      <c r="B368" s="16" t="s">
        <v>56</v>
      </c>
      <c r="C368" s="16" t="str">
        <f aca="false">CONCATENATE("X",IF(Data!D357&lt;0,"-",""),TEXT(ABS(Data!D357),"0.0000"))</f>
        <v>X1.1606</v>
      </c>
      <c r="D368" s="16" t="str">
        <f aca="false">CONCATENATE("Y",IF(Data!E357&lt;0,"-",""),TEXT(ABS(Data!E357),"0.0000"))</f>
        <v>Y-0.1015</v>
      </c>
      <c r="E368" s="16" t="str">
        <f aca="false">CONCATENATE("Z",IF(Data!F357&lt;0,"-",""),TEXT(ABS(Data!F357),"0.0000"))</f>
        <v>Z-0.0010</v>
      </c>
      <c r="F368" s="16" t="str">
        <f aca="false">CONCATENATE("B",IF(Data!G357&lt;0,"-",""),TEXT(ABS(Data!G357),"0.0000"))</f>
        <v>B-1.1195</v>
      </c>
      <c r="G368" s="16" t="str">
        <f aca="false">CONCATENATE("C",IF(Data!A357&lt;0,"-",""),TEXT(ABS(Data!A357),"0.0000"))</f>
        <v>C355.0000</v>
      </c>
    </row>
    <row r="369" customFormat="false" ht="15" hidden="false" customHeight="false" outlineLevel="0" collapsed="false">
      <c r="A369" s="16" t="s">
        <v>415</v>
      </c>
      <c r="B369" s="16" t="s">
        <v>56</v>
      </c>
      <c r="C369" s="16" t="str">
        <f aca="false">CONCATENATE("X",IF(Data!D358&lt;0,"-",""),TEXT(ABS(Data!D358),"0.0000"))</f>
        <v>X1.1622</v>
      </c>
      <c r="D369" s="16" t="str">
        <f aca="false">CONCATENATE("Y",IF(Data!E358&lt;0,"-",""),TEXT(ABS(Data!E358),"0.0000"))</f>
        <v>Y-0.0813</v>
      </c>
      <c r="E369" s="16" t="str">
        <f aca="false">CONCATENATE("Z",IF(Data!F358&lt;0,"-",""),TEXT(ABS(Data!F358),"0.0000"))</f>
        <v>Z-0.0006</v>
      </c>
      <c r="F369" s="16" t="str">
        <f aca="false">CONCATENATE("B",IF(Data!G358&lt;0,"-",""),TEXT(ABS(Data!G358),"0.0000"))</f>
        <v>B-0.8960</v>
      </c>
      <c r="G369" s="16" t="str">
        <f aca="false">CONCATENATE("C",IF(Data!A358&lt;0,"-",""),TEXT(ABS(Data!A358),"0.0000"))</f>
        <v>C356.0000</v>
      </c>
    </row>
    <row r="370" customFormat="false" ht="15" hidden="false" customHeight="false" outlineLevel="0" collapsed="false">
      <c r="A370" s="16" t="s">
        <v>416</v>
      </c>
      <c r="B370" s="16" t="s">
        <v>56</v>
      </c>
      <c r="C370" s="16" t="str">
        <f aca="false">CONCATENATE("X",IF(Data!D359&lt;0,"-",""),TEXT(ABS(Data!D359),"0.0000"))</f>
        <v>X1.1634</v>
      </c>
      <c r="D370" s="16" t="str">
        <f aca="false">CONCATENATE("Y",IF(Data!E359&lt;0,"-",""),TEXT(ABS(Data!E359),"0.0000"))</f>
        <v>Y-0.0610</v>
      </c>
      <c r="E370" s="16" t="str">
        <f aca="false">CONCATENATE("Z",IF(Data!F359&lt;0,"-",""),TEXT(ABS(Data!F359),"0.0000"))</f>
        <v>Z-0.0004</v>
      </c>
      <c r="F370" s="16" t="str">
        <f aca="false">CONCATENATE("B",IF(Data!G359&lt;0,"-",""),TEXT(ABS(Data!G359),"0.0000"))</f>
        <v>B-0.6722</v>
      </c>
      <c r="G370" s="16" t="str">
        <f aca="false">CONCATENATE("C",IF(Data!A359&lt;0,"-",""),TEXT(ABS(Data!A359),"0.0000"))</f>
        <v>C357.0000</v>
      </c>
    </row>
    <row r="371" customFormat="false" ht="15" hidden="false" customHeight="false" outlineLevel="0" collapsed="false">
      <c r="A371" s="16" t="s">
        <v>417</v>
      </c>
      <c r="B371" s="16" t="s">
        <v>56</v>
      </c>
      <c r="C371" s="16" t="str">
        <f aca="false">CONCATENATE("X",IF(Data!D360&lt;0,"-",""),TEXT(ABS(Data!D360),"0.0000"))</f>
        <v>X1.1643</v>
      </c>
      <c r="D371" s="16" t="str">
        <f aca="false">CONCATENATE("Y",IF(Data!E360&lt;0,"-",""),TEXT(ABS(Data!E360),"0.0000"))</f>
        <v>Y-0.0407</v>
      </c>
      <c r="E371" s="16" t="str">
        <f aca="false">CONCATENATE("Z",IF(Data!F360&lt;0,"-",""),TEXT(ABS(Data!F360),"0.0000"))</f>
        <v>Z-0.0002</v>
      </c>
      <c r="F371" s="16" t="str">
        <f aca="false">CONCATENATE("B",IF(Data!G360&lt;0,"-",""),TEXT(ABS(Data!G360),"0.0000"))</f>
        <v>B-0.4482</v>
      </c>
      <c r="G371" s="16" t="str">
        <f aca="false">CONCATENATE("C",IF(Data!A360&lt;0,"-",""),TEXT(ABS(Data!A360),"0.0000"))</f>
        <v>C358.0000</v>
      </c>
    </row>
    <row r="372" customFormat="false" ht="15" hidden="false" customHeight="false" outlineLevel="0" collapsed="false">
      <c r="A372" s="16" t="s">
        <v>418</v>
      </c>
      <c r="B372" s="16" t="s">
        <v>56</v>
      </c>
      <c r="C372" s="16" t="str">
        <f aca="false">CONCATENATE("X",IF(Data!D361&lt;0,"-",""),TEXT(ABS(Data!D361),"0.0000"))</f>
        <v>X1.1648</v>
      </c>
      <c r="D372" s="16" t="str">
        <f aca="false">CONCATENATE("Y",IF(Data!E361&lt;0,"-",""),TEXT(ABS(Data!E361),"0.0000"))</f>
        <v>Y-0.0203</v>
      </c>
      <c r="E372" s="16" t="str">
        <f aca="false">CONCATENATE("Z",IF(Data!F361&lt;0,"-",""),TEXT(ABS(Data!F361),"0.0000"))</f>
        <v>Z-0.0000</v>
      </c>
      <c r="F372" s="16" t="str">
        <f aca="false">CONCATENATE("B",IF(Data!G361&lt;0,"-",""),TEXT(ABS(Data!G361),"0.0000"))</f>
        <v>B-0.2242</v>
      </c>
      <c r="G372" s="16" t="str">
        <f aca="false">CONCATENATE("C",IF(Data!A361&lt;0,"-",""),TEXT(ABS(Data!A361),"0.0000"))</f>
        <v>C359.0000</v>
      </c>
    </row>
    <row r="373" customFormat="false" ht="13.8" hidden="false" customHeight="false" outlineLevel="0" collapsed="false">
      <c r="A373" s="15" t="s">
        <v>419</v>
      </c>
      <c r="B373" s="15" t="s">
        <v>56</v>
      </c>
      <c r="C373" s="15" t="str">
        <f aca="false">CONCATENATE("X",IF(Data!D362&lt;0,"-",""),TEXT(ABS(Data!D362),"0.0000"))</f>
        <v>X1.1650</v>
      </c>
      <c r="D373" s="15" t="str">
        <f aca="false">CONCATENATE("Y",IF(Data!E362&lt;0,"-",""),TEXT(ABS(Data!E362),"0.0000"))</f>
        <v>Y-0.0000</v>
      </c>
      <c r="E373" s="15" t="str">
        <f aca="false">CONCATENATE("Z",IF(Data!F362&lt;0,"-",""),TEXT(ABS(Data!F362),"0.0000"))</f>
        <v>Z0.0000</v>
      </c>
      <c r="F373" s="15" t="str">
        <f aca="false">CONCATENATE("B",IF(Data!G362&lt;0,"-",""),TEXT(ABS(Data!G362),"0.0000"))</f>
        <v>B-0.0000</v>
      </c>
      <c r="G373" s="15" t="str">
        <f aca="false">CONCATENATE("C",IF(Data!A362&lt;0,"-",""),TEXT(ABS(Data!A362),"0.0000"))</f>
        <v>C360.0000</v>
      </c>
    </row>
    <row r="374" customFormat="false" ht="15" hidden="false" customHeight="false" outlineLevel="0" collapsed="false">
      <c r="A374" s="14" t="s">
        <v>420</v>
      </c>
      <c r="B374" s="14" t="s">
        <v>50</v>
      </c>
    </row>
    <row r="375" customFormat="false" ht="15" hidden="false" customHeight="false" outlineLevel="0" collapsed="false">
      <c r="A375" s="14"/>
      <c r="B375" s="14" t="s">
        <v>51</v>
      </c>
      <c r="E375" s="14" t="str">
        <f aca="false">CONCATENATE("Z",TEXT(Inputs!B11,"0.0000"))</f>
        <v>Z1.0000</v>
      </c>
    </row>
    <row r="376" customFormat="false" ht="15" hidden="false" customHeight="false" outlineLevel="0" collapsed="false">
      <c r="A376" s="14"/>
      <c r="B376" s="14" t="s">
        <v>51</v>
      </c>
      <c r="F376" s="14" t="s">
        <v>52</v>
      </c>
      <c r="G376" s="14" t="s">
        <v>53</v>
      </c>
    </row>
    <row r="377" customFormat="false" ht="15" hidden="false" customHeight="false" outlineLevel="0" collapsed="false">
      <c r="A377" s="14"/>
      <c r="B377" s="14" t="s">
        <v>421</v>
      </c>
      <c r="H377" s="14" t="str">
        <f aca="false">CONCATENATE("H",TEXT(Inputs!B14,"0"))</f>
        <v>H1</v>
      </c>
    </row>
    <row r="378" customFormat="false" ht="15" hidden="false" customHeight="false" outlineLevel="0" collapsed="false">
      <c r="A378" s="14"/>
      <c r="B378" s="14" t="s">
        <v>422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9" t="s">
        <v>423</v>
      </c>
    </row>
    <row r="2" customFormat="false" ht="15" hidden="false" customHeight="false" outlineLevel="0" collapsed="false">
      <c r="A2" s="3" t="s">
        <v>424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9" t="s">
        <v>425</v>
      </c>
    </row>
    <row r="2" customFormat="false" ht="15" hidden="false" customHeight="false" outlineLevel="0" collapsed="false">
      <c r="A2" s="3" t="s">
        <v>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9" t="s">
        <v>427</v>
      </c>
    </row>
    <row r="2" customFormat="false" ht="15" hidden="false" customHeight="false" outlineLevel="0" collapsed="false">
      <c r="A2" s="3" t="s">
        <v>428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9" t="s">
        <v>429</v>
      </c>
    </row>
    <row r="2" customFormat="false" ht="15" hidden="false" customHeight="false" outlineLevel="0" collapsed="false">
      <c r="A2" s="3" t="s">
        <v>430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9" t="s">
        <v>431</v>
      </c>
    </row>
    <row r="2" customFormat="false" ht="15" hidden="false" customHeight="false" outlineLevel="0" collapsed="false">
      <c r="A2" s="3" t="s">
        <v>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2026-08-17T01:35:54Z</dcterms:created>
  <dc:creator>openpyxl</dc:creator>
  <dc:description/>
  <dc:language>en-US</dc:language>
  <cp:lastModifiedBy/>
  <dcterms:modified xsi:type="dcterms:W3CDTF">2026-08-17T20:01:08Z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